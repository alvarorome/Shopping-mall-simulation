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lvar\Desktop\TRABAJOS ÁLVARO UNI\3º\1 cuatri\OPTIMIZACION\arena\"/>
    </mc:Choice>
  </mc:AlternateContent>
  <xr:revisionPtr revIDLastSave="0" documentId="13_ncr:1_{B98F4684-8668-4658-B0D6-BCACA1FEB3FA}" xr6:coauthVersionLast="47" xr6:coauthVersionMax="47" xr10:uidLastSave="{00000000-0000-0000-0000-000000000000}"/>
  <bookViews>
    <workbookView xWindow="-108" yWindow="-108" windowWidth="24792" windowHeight="1485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</definedName>
    <definedName name="ExternalData_1" localSheetId="4" hidden="1">CounterStatsByRep!$A$1:$G$2</definedName>
    <definedName name="ExternalData_1" localSheetId="2" hidden="1">DiscreteTimeStatsByRep!$A$1:$K$10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O3" i="20" s="1" a="1"/>
  <c r="O3" i="20" s="1"/>
  <c r="I4" i="20"/>
  <c r="I5" i="20"/>
  <c r="I6" i="20"/>
  <c r="I7" i="20"/>
  <c r="I8" i="20"/>
  <c r="I9" i="20"/>
  <c r="L9" i="20" s="1" a="1"/>
  <c r="L9" i="20" s="1"/>
  <c r="I10" i="20"/>
  <c r="I11" i="20"/>
  <c r="I12" i="20"/>
  <c r="J2" i="20" a="1"/>
  <c r="J2" i="20"/>
  <c r="J3" i="20" a="1"/>
  <c r="J3" i="20" s="1"/>
  <c r="J4" i="20" a="1"/>
  <c r="J4" i="20" s="1"/>
  <c r="J5" i="20" a="1"/>
  <c r="J5" i="20" s="1"/>
  <c r="J6" i="20" a="1"/>
  <c r="J6" i="20"/>
  <c r="J7" i="20" a="1"/>
  <c r="J7" i="20"/>
  <c r="J8" i="20" a="1"/>
  <c r="J8" i="20"/>
  <c r="J9" i="20" a="1"/>
  <c r="J9" i="20"/>
  <c r="J10" i="20" a="1"/>
  <c r="J10" i="20" s="1"/>
  <c r="J11" i="20" a="1"/>
  <c r="J11" i="20" s="1"/>
  <c r="J12" i="20" a="1"/>
  <c r="J12" i="20" s="1"/>
  <c r="K12" i="20" a="1"/>
  <c r="K12" i="20" s="1"/>
  <c r="M2" i="20" a="1"/>
  <c r="M2" i="20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/>
  <c r="M10" i="20" a="1"/>
  <c r="M10" i="20"/>
  <c r="M11" i="20" a="1"/>
  <c r="M11" i="20"/>
  <c r="M12" i="20" a="1"/>
  <c r="M12" i="20" s="1"/>
  <c r="O8" i="20" a="1"/>
  <c r="O8" i="20" s="1"/>
  <c r="P4" i="20" a="1"/>
  <c r="P4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S3" i="18" s="1" a="1"/>
  <c r="S3" i="18" s="1"/>
  <c r="M15" i="18"/>
  <c r="N2" i="18" a="1"/>
  <c r="N2" i="18" s="1"/>
  <c r="U2" i="18" s="1"/>
  <c r="N3" i="18" a="1"/>
  <c r="N3" i="18" s="1"/>
  <c r="N4" i="18" a="1"/>
  <c r="N4" i="18" s="1"/>
  <c r="N5" i="18" a="1"/>
  <c r="N5" i="18"/>
  <c r="N6" i="18" a="1"/>
  <c r="N6" i="18"/>
  <c r="N7" i="18" a="1"/>
  <c r="N7" i="18"/>
  <c r="N8" i="18" a="1"/>
  <c r="N8" i="18"/>
  <c r="U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/>
  <c r="N14" i="18" a="1"/>
  <c r="N14" i="18"/>
  <c r="N15" i="18" a="1"/>
  <c r="N15" i="18"/>
  <c r="Q2" i="18" a="1"/>
  <c r="Q2" i="18"/>
  <c r="Q3" i="18" a="1"/>
  <c r="Q3" i="18" s="1"/>
  <c r="Q4" i="18" a="1"/>
  <c r="Q4" i="18" s="1"/>
  <c r="Q5" i="18" a="1"/>
  <c r="Q5" i="18" s="1"/>
  <c r="Q6" i="18" a="1"/>
  <c r="Q6" i="18"/>
  <c r="Q7" i="18" a="1"/>
  <c r="Q7" i="18"/>
  <c r="Q8" i="18" a="1"/>
  <c r="Q8" i="18"/>
  <c r="Q9" i="18" a="1"/>
  <c r="Q9" i="18"/>
  <c r="Q10" i="18" a="1"/>
  <c r="Q10" i="18" s="1"/>
  <c r="Q11" i="18" a="1"/>
  <c r="Q11" i="18" s="1"/>
  <c r="Q12" i="18" a="1"/>
  <c r="Q12" i="18" s="1"/>
  <c r="Q13" i="18" a="1"/>
  <c r="Q13" i="18" s="1"/>
  <c r="Q14" i="18" a="1"/>
  <c r="Q14" i="18"/>
  <c r="Q15" i="18" a="1"/>
  <c r="Q15" i="18"/>
  <c r="U12" i="18"/>
  <c r="U13" i="18"/>
  <c r="U14" i="18"/>
  <c r="U15" i="18"/>
  <c r="L2" i="17"/>
  <c r="L3" i="17"/>
  <c r="L4" i="17"/>
  <c r="T2" i="17" s="1" a="1"/>
  <c r="T2" i="17" s="1"/>
  <c r="L5" i="17"/>
  <c r="T7" i="17" s="1" a="1"/>
  <c r="T7" i="17" s="1"/>
  <c r="L6" i="17"/>
  <c r="L7" i="17"/>
  <c r="L8" i="17"/>
  <c r="L9" i="17"/>
  <c r="V9" i="17" s="1" a="1"/>
  <c r="V9" i="17" s="1"/>
  <c r="L10" i="17"/>
  <c r="S10" i="17" s="1" a="1"/>
  <c r="S10" i="17" s="1"/>
  <c r="M2" i="17" a="1"/>
  <c r="M2" i="17"/>
  <c r="W2" i="17" s="1"/>
  <c r="M3" i="17" a="1"/>
  <c r="M3" i="17"/>
  <c r="W3" i="17" s="1"/>
  <c r="M4" i="17" a="1"/>
  <c r="M4" i="17" s="1"/>
  <c r="M5" i="17" a="1"/>
  <c r="M5" i="17" s="1"/>
  <c r="M6" i="17" a="1"/>
  <c r="M6" i="17"/>
  <c r="M7" i="17" a="1"/>
  <c r="M7" i="17" s="1"/>
  <c r="W7" i="17" s="1"/>
  <c r="M8" i="17" a="1"/>
  <c r="M8" i="17" s="1"/>
  <c r="M9" i="17" a="1"/>
  <c r="M9" i="17" s="1"/>
  <c r="M10" i="17" a="1"/>
  <c r="M10" i="17"/>
  <c r="N8" i="17" a="1"/>
  <c r="N8" i="17" s="1"/>
  <c r="O4" i="17" a="1"/>
  <c r="O4" i="17" s="1"/>
  <c r="O5" i="17" a="1"/>
  <c r="O5" i="17" s="1"/>
  <c r="P2" i="17" a="1"/>
  <c r="P2" i="17" s="1"/>
  <c r="P3" i="17" a="1"/>
  <c r="P3" i="17" s="1"/>
  <c r="P4" i="17" a="1"/>
  <c r="P4" i="17"/>
  <c r="P5" i="17" a="1"/>
  <c r="P5" i="17" s="1"/>
  <c r="P6" i="17" a="1"/>
  <c r="P6" i="17" s="1"/>
  <c r="P7" i="17" a="1"/>
  <c r="P7" i="17"/>
  <c r="P8" i="17" a="1"/>
  <c r="P8" i="17"/>
  <c r="P9" i="17" a="1"/>
  <c r="P9" i="17" s="1"/>
  <c r="P10" i="17" a="1"/>
  <c r="P10" i="17"/>
  <c r="S9" i="17" a="1"/>
  <c r="S9" i="17"/>
  <c r="V3" i="17" a="1"/>
  <c r="V3" i="17" s="1"/>
  <c r="X10" i="17" a="1"/>
  <c r="X10" i="17" s="1"/>
  <c r="G2" i="16"/>
  <c r="O9" i="20" l="1" a="1"/>
  <c r="O9" i="20" s="1"/>
  <c r="K5" i="20" a="1"/>
  <c r="K5" i="20" s="1"/>
  <c r="O2" i="20" a="1"/>
  <c r="O2" i="20" s="1"/>
  <c r="N9" i="20"/>
  <c r="L10" i="20" a="1"/>
  <c r="L10" i="20" s="1"/>
  <c r="K8" i="20" a="1"/>
  <c r="K8" i="20" s="1"/>
  <c r="P11" i="20" a="1"/>
  <c r="P11" i="20" s="1"/>
  <c r="N2" i="20"/>
  <c r="L12" i="20" a="1"/>
  <c r="L12" i="20" s="1"/>
  <c r="N12" i="20" s="1"/>
  <c r="O10" i="20" a="1"/>
  <c r="O10" i="20" s="1"/>
  <c r="K9" i="20" a="1"/>
  <c r="K9" i="20" s="1"/>
  <c r="P12" i="20" a="1"/>
  <c r="P12" i="20" s="1"/>
  <c r="P5" i="20" a="1"/>
  <c r="P5" i="20" s="1"/>
  <c r="L8" i="20" a="1"/>
  <c r="L8" i="20" s="1"/>
  <c r="N8" i="20" s="1"/>
  <c r="O5" i="20" a="1"/>
  <c r="O5" i="20" s="1"/>
  <c r="L2" i="20" a="1"/>
  <c r="L2" i="20" s="1"/>
  <c r="K6" i="20" a="1"/>
  <c r="K6" i="20" s="1"/>
  <c r="O4" i="20" a="1"/>
  <c r="O4" i="20" s="1"/>
  <c r="N3" i="20"/>
  <c r="N10" i="20"/>
  <c r="N4" i="20"/>
  <c r="L7" i="20" a="1"/>
  <c r="L7" i="20" s="1"/>
  <c r="N7" i="20" s="1"/>
  <c r="P3" i="20" a="1"/>
  <c r="P3" i="20" s="1"/>
  <c r="K10" i="20" a="1"/>
  <c r="K10" i="20" s="1"/>
  <c r="P9" i="20" a="1"/>
  <c r="P9" i="20" s="1"/>
  <c r="K2" i="20" a="1"/>
  <c r="K2" i="20" s="1"/>
  <c r="P8" i="20" a="1"/>
  <c r="P8" i="20" s="1"/>
  <c r="O12" i="20" a="1"/>
  <c r="O12" i="20" s="1"/>
  <c r="K4" i="20" a="1"/>
  <c r="K4" i="20" s="1"/>
  <c r="O7" i="20" a="1"/>
  <c r="O7" i="20" s="1"/>
  <c r="O6" i="20" a="1"/>
  <c r="O6" i="20" s="1"/>
  <c r="L5" i="20" a="1"/>
  <c r="L5" i="20" s="1"/>
  <c r="N5" i="20" s="1"/>
  <c r="L4" i="20" a="1"/>
  <c r="L4" i="20" s="1"/>
  <c r="K11" i="20" a="1"/>
  <c r="K11" i="20" s="1"/>
  <c r="P10" i="20" a="1"/>
  <c r="P10" i="20" s="1"/>
  <c r="L6" i="20" a="1"/>
  <c r="L6" i="20" s="1"/>
  <c r="N6" i="20" s="1"/>
  <c r="K3" i="20" a="1"/>
  <c r="K3" i="20" s="1"/>
  <c r="P2" i="20" a="1"/>
  <c r="P2" i="20" s="1"/>
  <c r="L11" i="20" a="1"/>
  <c r="L11" i="20" s="1"/>
  <c r="N11" i="20" s="1"/>
  <c r="P7" i="20" a="1"/>
  <c r="P7" i="20" s="1"/>
  <c r="O11" i="20" a="1"/>
  <c r="O11" i="20" s="1"/>
  <c r="L3" i="20" a="1"/>
  <c r="L3" i="20" s="1"/>
  <c r="K7" i="20" a="1"/>
  <c r="K7" i="20" s="1"/>
  <c r="P6" i="20" a="1"/>
  <c r="P6" i="20" s="1"/>
  <c r="T2" i="18" a="1"/>
  <c r="T2" i="18" s="1"/>
  <c r="T3" i="18" a="1"/>
  <c r="T3" i="18" s="1"/>
  <c r="S9" i="18" a="1"/>
  <c r="S9" i="18" s="1"/>
  <c r="O9" i="18" a="1"/>
  <c r="O9" i="18" s="1"/>
  <c r="T9" i="18" a="1"/>
  <c r="T9" i="18" s="1"/>
  <c r="O4" i="18" a="1"/>
  <c r="O4" i="18" s="1"/>
  <c r="O2" i="18" a="1"/>
  <c r="O2" i="18" s="1"/>
  <c r="U11" i="18"/>
  <c r="R7" i="18"/>
  <c r="U10" i="18"/>
  <c r="R6" i="18"/>
  <c r="U4" i="18"/>
  <c r="U3" i="18"/>
  <c r="P8" i="18" a="1"/>
  <c r="P8" i="18" s="1"/>
  <c r="T7" i="18" a="1"/>
  <c r="T7" i="18" s="1"/>
  <c r="S14" i="18" a="1"/>
  <c r="S14" i="18" s="1"/>
  <c r="P14" i="18" a="1"/>
  <c r="P14" i="18" s="1"/>
  <c r="R14" i="18" s="1"/>
  <c r="O14" i="18" a="1"/>
  <c r="O14" i="18" s="1"/>
  <c r="P6" i="18" a="1"/>
  <c r="P6" i="18" s="1"/>
  <c r="O13" i="18" a="1"/>
  <c r="O13" i="18" s="1"/>
  <c r="S5" i="18" a="1"/>
  <c r="S5" i="18" s="1"/>
  <c r="R8" i="18"/>
  <c r="P12" i="18" a="1"/>
  <c r="P12" i="18" s="1"/>
  <c r="R12" i="18" s="1"/>
  <c r="U7" i="18"/>
  <c r="S8" i="18" a="1"/>
  <c r="S8" i="18" s="1"/>
  <c r="P15" i="18" a="1"/>
  <c r="P15" i="18" s="1"/>
  <c r="R15" i="18" s="1"/>
  <c r="O15" i="18" a="1"/>
  <c r="O15" i="18" s="1"/>
  <c r="P7" i="18" a="1"/>
  <c r="P7" i="18" s="1"/>
  <c r="T6" i="18" a="1"/>
  <c r="T6" i="18" s="1"/>
  <c r="S13" i="18" a="1"/>
  <c r="S13" i="18" s="1"/>
  <c r="P13" i="18" a="1"/>
  <c r="P13" i="18" s="1"/>
  <c r="R13" i="18" s="1"/>
  <c r="U9" i="18"/>
  <c r="T12" i="18" a="1"/>
  <c r="T12" i="18" s="1"/>
  <c r="O5" i="18" a="1"/>
  <c r="O5" i="18" s="1"/>
  <c r="U6" i="18"/>
  <c r="S11" i="18" a="1"/>
  <c r="S11" i="18" s="1"/>
  <c r="P11" i="18" a="1"/>
  <c r="P11" i="18" s="1"/>
  <c r="R11" i="18" s="1"/>
  <c r="O11" i="18" a="1"/>
  <c r="O11" i="18" s="1"/>
  <c r="T8" i="18" a="1"/>
  <c r="T8" i="18" s="1"/>
  <c r="S15" i="18" a="1"/>
  <c r="S15" i="18" s="1"/>
  <c r="O8" i="18" a="1"/>
  <c r="O8" i="18" s="1"/>
  <c r="T14" i="18" a="1"/>
  <c r="T14" i="18" s="1"/>
  <c r="S7" i="18" a="1"/>
  <c r="S7" i="18" s="1"/>
  <c r="O7" i="18" a="1"/>
  <c r="O7" i="18" s="1"/>
  <c r="T13" i="18" a="1"/>
  <c r="T13" i="18" s="1"/>
  <c r="S6" i="18" a="1"/>
  <c r="S6" i="18" s="1"/>
  <c r="O6" i="18" a="1"/>
  <c r="O6" i="18" s="1"/>
  <c r="T5" i="18" a="1"/>
  <c r="T5" i="18" s="1"/>
  <c r="S12" i="18" a="1"/>
  <c r="S12" i="18" s="1"/>
  <c r="P5" i="18" a="1"/>
  <c r="P5" i="18" s="1"/>
  <c r="R5" i="18" s="1"/>
  <c r="O12" i="18" a="1"/>
  <c r="O12" i="18" s="1"/>
  <c r="T11" i="18" a="1"/>
  <c r="T11" i="18" s="1"/>
  <c r="T4" i="18" a="1"/>
  <c r="T4" i="18" s="1"/>
  <c r="S4" i="18" a="1"/>
  <c r="S4" i="18" s="1"/>
  <c r="P4" i="18" a="1"/>
  <c r="P4" i="18" s="1"/>
  <c r="R4" i="18" s="1"/>
  <c r="U5" i="18"/>
  <c r="T10" i="18" a="1"/>
  <c r="T10" i="18" s="1"/>
  <c r="P10" i="18" a="1"/>
  <c r="P10" i="18" s="1"/>
  <c r="R10" i="18" s="1"/>
  <c r="O10" i="18" a="1"/>
  <c r="O10" i="18" s="1"/>
  <c r="S10" i="18" a="1"/>
  <c r="S10" i="18" s="1"/>
  <c r="O3" i="18" a="1"/>
  <c r="O3" i="18" s="1"/>
  <c r="T15" i="18" a="1"/>
  <c r="T15" i="18" s="1"/>
  <c r="P3" i="18" a="1"/>
  <c r="P3" i="18" s="1"/>
  <c r="R3" i="18" s="1"/>
  <c r="S2" i="18" a="1"/>
  <c r="S2" i="18" s="1"/>
  <c r="P9" i="18" a="1"/>
  <c r="P9" i="18" s="1"/>
  <c r="R9" i="18" s="1"/>
  <c r="P2" i="18" a="1"/>
  <c r="P2" i="18" s="1"/>
  <c r="R2" i="18" s="1"/>
  <c r="N7" i="17" a="1"/>
  <c r="N7" i="17" s="1"/>
  <c r="X9" i="17" a="1"/>
  <c r="X9" i="17" s="1"/>
  <c r="T8" i="17" a="1"/>
  <c r="T8" i="17" s="1"/>
  <c r="V5" i="17" a="1"/>
  <c r="V5" i="17" s="1"/>
  <c r="V4" i="17" a="1"/>
  <c r="V4" i="17" s="1"/>
  <c r="X3" i="17" a="1"/>
  <c r="X3" i="17" s="1"/>
  <c r="R5" i="17" a="1"/>
  <c r="R5" i="17" s="1"/>
  <c r="W4" i="17"/>
  <c r="U6" i="17" a="1"/>
  <c r="U6" i="17" s="1"/>
  <c r="X2" i="17" a="1"/>
  <c r="X2" i="17" s="1"/>
  <c r="Y2" i="17" s="1"/>
  <c r="U5" i="17" a="1"/>
  <c r="U5" i="17" s="1"/>
  <c r="R4" i="17" a="1"/>
  <c r="R4" i="17" s="1"/>
  <c r="R7" i="17" a="1"/>
  <c r="R7" i="17" s="1"/>
  <c r="X4" i="17" a="1"/>
  <c r="X4" i="17" s="1"/>
  <c r="Y4" i="17" s="1"/>
  <c r="Q4" i="17" s="1"/>
  <c r="S3" i="17" a="1"/>
  <c r="S3" i="17" s="1"/>
  <c r="V2" i="17" a="1"/>
  <c r="V2" i="17" s="1"/>
  <c r="Y10" i="17"/>
  <c r="N10" i="17" a="1"/>
  <c r="N10" i="17" s="1"/>
  <c r="R6" i="17" a="1"/>
  <c r="R6" i="17" s="1"/>
  <c r="X6" i="17" a="1"/>
  <c r="X6" i="17" s="1"/>
  <c r="O6" i="17" a="1"/>
  <c r="O6" i="17" s="1"/>
  <c r="S5" i="17" a="1"/>
  <c r="S5" i="17" s="1"/>
  <c r="N6" i="17" a="1"/>
  <c r="N6" i="17" s="1"/>
  <c r="U7" i="17" a="1"/>
  <c r="U7" i="17" s="1"/>
  <c r="S2" i="17" a="1"/>
  <c r="S2" i="17" s="1"/>
  <c r="O8" i="17" a="1"/>
  <c r="O8" i="17" s="1"/>
  <c r="T9" i="17" a="1"/>
  <c r="T9" i="17" s="1"/>
  <c r="Y3" i="17"/>
  <c r="Q3" i="17" s="1"/>
  <c r="V10" i="17" a="1"/>
  <c r="V10" i="17" s="1"/>
  <c r="N3" i="17" a="1"/>
  <c r="N3" i="17" s="1"/>
  <c r="W9" i="17"/>
  <c r="Y9" i="17"/>
  <c r="W8" i="17"/>
  <c r="Y6" i="17"/>
  <c r="W5" i="17"/>
  <c r="S4" i="17" a="1"/>
  <c r="S4" i="17" s="1"/>
  <c r="X5" i="17" a="1"/>
  <c r="X5" i="17" s="1"/>
  <c r="Y5" i="17" s="1"/>
  <c r="Q5" i="17" s="1"/>
  <c r="O7" i="17" a="1"/>
  <c r="O7" i="17" s="1"/>
  <c r="N9" i="17" a="1"/>
  <c r="N9" i="17" s="1"/>
  <c r="N2" i="17" a="1"/>
  <c r="N2" i="17" s="1"/>
  <c r="U4" i="17" a="1"/>
  <c r="U4" i="17" s="1"/>
  <c r="T6" i="17" a="1"/>
  <c r="T6" i="17" s="1"/>
  <c r="S8" i="17" a="1"/>
  <c r="S8" i="17" s="1"/>
  <c r="R10" i="17" a="1"/>
  <c r="R10" i="17" s="1"/>
  <c r="R3" i="17" a="1"/>
  <c r="R3" i="17" s="1"/>
  <c r="V8" i="17" a="1"/>
  <c r="V8" i="17" s="1"/>
  <c r="U3" i="17" a="1"/>
  <c r="U3" i="17" s="1"/>
  <c r="T5" i="17" a="1"/>
  <c r="T5" i="17" s="1"/>
  <c r="R9" i="17" a="1"/>
  <c r="R9" i="17" s="1"/>
  <c r="O10" i="17" a="1"/>
  <c r="O10" i="17" s="1"/>
  <c r="N5" i="17" a="1"/>
  <c r="N5" i="17" s="1"/>
  <c r="V7" i="17" a="1"/>
  <c r="V7" i="17" s="1"/>
  <c r="U2" i="17" a="1"/>
  <c r="U2" i="17" s="1"/>
  <c r="S6" i="17" a="1"/>
  <c r="S6" i="17" s="1"/>
  <c r="X7" i="17" a="1"/>
  <c r="X7" i="17" s="1"/>
  <c r="Y7" i="17" s="1"/>
  <c r="Q7" i="17" s="1"/>
  <c r="N4" i="17" a="1"/>
  <c r="N4" i="17" s="1"/>
  <c r="W6" i="17"/>
  <c r="V6" i="17" a="1"/>
  <c r="V6" i="17" s="1"/>
  <c r="U8" i="17" a="1"/>
  <c r="U8" i="17" s="1"/>
  <c r="T10" i="17" a="1"/>
  <c r="T10" i="17" s="1"/>
  <c r="T3" i="17" a="1"/>
  <c r="T3" i="17" s="1"/>
  <c r="W10" i="17"/>
  <c r="U10" i="17" a="1"/>
  <c r="U10" i="17" s="1"/>
  <c r="S7" i="17" a="1"/>
  <c r="S7" i="17" s="1"/>
  <c r="R2" i="17" a="1"/>
  <c r="R2" i="17" s="1"/>
  <c r="X8" i="17" a="1"/>
  <c r="X8" i="17" s="1"/>
  <c r="Y8" i="17" s="1"/>
  <c r="Q8" i="17" s="1"/>
  <c r="O3" i="17" a="1"/>
  <c r="O3" i="17" s="1"/>
  <c r="U9" i="17" a="1"/>
  <c r="U9" i="17" s="1"/>
  <c r="T4" i="17" a="1"/>
  <c r="T4" i="17" s="1"/>
  <c r="R8" i="17" a="1"/>
  <c r="R8" i="17" s="1"/>
  <c r="O9" i="17" a="1"/>
  <c r="O9" i="17" s="1"/>
  <c r="O2" i="17" a="1"/>
  <c r="O2" i="17" s="1"/>
  <c r="Q2" i="17" s="1"/>
  <c r="Q6" i="17" l="1"/>
  <c r="Q10" i="17"/>
  <c r="Q9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lvar\desktop\trabajos álvaro uni\3º\1 cuatri\optimizacion\arena\shopping_mall_inicia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lvar\desktop\trabajos álvaro uni\3º\1 cuatri\optimizacion\arena\shopping_mall_inicia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lvar\desktop\trabajos álvaro uni\3º\1 cuatri\optimizacion\arena\shopping_mall_inicia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lvar\desktop\trabajos álvaro uni\3º\1 cuatri\optimizacion\arena\shopping_mall_inicia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lvar\desktop\trabajos álvaro uni\3º\1 cuatri\optimizacion\arena\shopping_mall_inicia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lvar\desktop\trabajos álvaro uni\3º\1 cuatri\optimizacion\arena\shopping_mall_inicia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<sst xmlns="http://schemas.openxmlformats.org/spreadsheetml/2006/main" count="429" uniqueCount="110">
  <si>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</si>
  <si>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</si>
  <si>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</si>
  <si>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</si>
  <si>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</si>
  <si>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</si>
  <si>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</si>
  <si>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</si>
  <si>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</si>
  <si>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</si>
  <si>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</si>
  <si>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</si>
  <si>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</si>
  <si>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</si>
  <si>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</si>
  <si>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</si>
  <si>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</si>
  <si>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</si>
  <si>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</si>
  <si>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</si>
  <si>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</si>
  <si>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</si>
  <si>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</si>
  <si>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</si>
  <si>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</si>
  <si>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</si>
  <si>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</si>
  <si>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</si>
  <si>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</si>
  <si>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</si>
  <si>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</si>
  <si>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</si>
  <si>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</si>
  <si>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</si>
  <si>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</si>
  <si>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</si>
  <si>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</si>
  <si>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</si>
  <si>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</si>
  <si>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</si>
  <si>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</si>
  <si>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</si>
  <si>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</si>
  <si>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</si>
  <si>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</si>
  <si>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</si>
  <si>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</si>
  <si>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</si>
  <si>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</si>
  <si>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</si>
  <si>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</si>
  <si>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</si>
  <si>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</si>
  <si>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</si>
  <si>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</si>
  <si>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</si>
  <si>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</si>
  <si>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</si>
  <si>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</si>
  <si>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</si>
  <si>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</si>
  <si>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</si>
  <si>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</si>
  <si>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</si>
  <si>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</si>
  <si>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</si>
  <si>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</si>
  <si>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</si>
  <si>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C:\Users\alvar\Desktop\TRABAJOS LVARO UNI\3\1 cuatri\OPTIMIZACION\arena\shopping_mall_inicial.p</t>
  </si>
  <si>
    <t>2025-12-04 19:42:04</t>
  </si>
  <si>
    <t>Chinese Restaurant.Queue</t>
  </si>
  <si>
    <t>Waiting Time</t>
  </si>
  <si>
    <t>Queue</t>
  </si>
  <si>
    <t>Clothes shop.Queue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</si>
  <si>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</si>
  <si>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</si>
  <si>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</si>
  <si>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</si>
  <si>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</si>
  <si>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</si>
  <si>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</si>
  <si>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</si>
  <si>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Shoe store.Queue</t>
  </si>
  <si>
    <t>Available Tables</t>
  </si>
  <si>
    <t>Instantaneous Utilization</t>
  </si>
  <si>
    <t>Resource</t>
  </si>
  <si>
    <t>Number Busy</t>
  </si>
  <si>
    <t>Number Scheduled</t>
  </si>
  <si>
    <t>Number Waiting</t>
  </si>
  <si>
    <t>ClientEntity 1</t>
  </si>
  <si>
    <t>WIP</t>
  </si>
  <si>
    <t>Employees clothes</t>
  </si>
  <si>
    <t>Employees shoe</t>
  </si>
  <si>
    <t>Available Tables.NumberSeized</t>
  </si>
  <si>
    <t>Total Number Seized</t>
  </si>
  <si>
    <t>Available Tables.ScheduledUtilization</t>
  </si>
  <si>
    <t>Scheduled Utilization</t>
  </si>
  <si>
    <t>ClientEntity 1.NumberIn</t>
  </si>
  <si>
    <t>Number In</t>
  </si>
  <si>
    <t>ClientEntity 1.NumberOut</t>
  </si>
  <si>
    <t>Number Out</t>
  </si>
  <si>
    <t>Employees clothes.NumberSeized</t>
  </si>
  <si>
    <t>Employees clothes.ScheduledUtilization</t>
  </si>
  <si>
    <t>Employees shoe.NumberSeized</t>
  </si>
  <si>
    <t>Employees shoe.ScheduledUtilization</t>
  </si>
  <si>
    <t>Entity 1.NumberIn</t>
  </si>
  <si>
    <t>Entity 1.NumberOut</t>
  </si>
  <si>
    <t>System.NumberOut</t>
  </si>
  <si>
    <t>System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</si>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</sst>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Álvaro Rodríguez" refreshedDate="45995.82097523148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Available Tables.NumberSeized"/>
        <s v="Available Tables.ScheduledUtilization"/>
        <s v="ClientEntity 1.NumberIn"/>
        <s v="ClientEntity 1.NumberOut"/>
        <s v="Employees clothes.NumberSeized"/>
        <s v="Employees clothes.ScheduledUtilization"/>
        <s v="Employees shoe.NumberSeized"/>
        <s v="Employees shoe.ScheduledUtilization"/>
        <s v="Entity 1.NumberIn"/>
        <s v="Entity 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5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51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513"/>
    </cacheField>
    <cacheField name="Maximum" numFmtId="0">
      <sharedItems containsSemiMixedTypes="0" containsString="0" containsNumber="1" minValue="0" maxValue="5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Álvaro Rodríguez" refreshedDate="45995.82097534722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Álvaro Rodríguez" refreshedDate="45995.820975462964" createdVersion="7" refreshedVersion="8" minRefreshableVersion="3" recordCount="1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Available Tables"/>
        <s v="Chinese Restaurant.Queue"/>
        <s v="ClientEntity 1"/>
        <s v="Clothes shop.Queue"/>
        <s v="Employees clothes"/>
        <s v="Employees shoe"/>
        <s v="Entity 1"/>
        <s v="Shoe store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13"/>
    </cacheField>
    <cacheField name="BatchMeansHalfWidth" numFmtId="0">
      <sharedItems containsSemiMixedTypes="0" containsString="0" containsNumber="1" minValue="3.6197903241555002E-2" maxValue="2E+20"/>
    </cacheField>
    <cacheField name="Minimum" numFmtId="0">
      <sharedItems containsSemiMixedTypes="0" containsString="0" containsNumber="1" containsInteger="1" minValue="0" maxValue="13"/>
    </cacheField>
    <cacheField name="Maximum" numFmtId="0">
      <sharedItems containsSemiMixedTypes="0" containsString="0" containsNumber="1" minValue="0" maxValue="21"/>
    </cacheField>
    <cacheField name="LastRecordedValue" numFmtId="0">
      <sharedItems containsSemiMixedTypes="0" containsString="0" containsNumber="1" containsInteger="1" minValue="0" maxValue="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3"/>
    </cacheField>
    <cacheField name="MaximumAverage" numFmtId="0">
      <sharedItems containsSemiMixedTypes="0" containsString="0" containsNumber="1" minValue="0" maxValue="13"/>
    </cacheField>
    <cacheField name="SummaryHalfWidth" numFmtId="0">
      <sharedItems containsSemiMixedTypes="0" containsString="0" containsNumber="1" minValue="3.6197903241555002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Álvaro Rodríguez" refreshedDate="45995.82097569444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Álvaro Rodríguez" refreshedDate="45995.820975925926" createdVersion="7" refreshedVersion="8" minRefreshableVersion="3" recordCount="9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hinese Restaurant.Queue"/>
        <s v="Clothes shop.Queue"/>
        <s v="Entity 1"/>
        <s v="Shoe store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5023117396199499"/>
    </cacheField>
    <cacheField name="BatchMeansHalfWidth" numFmtId="0">
      <sharedItems containsSemiMixedTypes="0" containsString="0" containsNumber="1" minValue="0" maxValue="2E+20"/>
    </cacheField>
    <cacheField name="Minimum" numFmtId="0">
      <sharedItems containsSemiMixedTypes="0" containsString="0" containsNumber="1" minValue="0" maxValue="0.56110547736932403"/>
    </cacheField>
    <cacheField name="Maximum" numFmtId="0">
      <sharedItems containsSemiMixedTypes="0" containsString="0" containsNumber="1" minValue="0" maxValue="2.3634624674095601"/>
    </cacheField>
    <cacheField name="NumberObservations" numFmtId="0">
      <sharedItems containsSemiMixedTypes="0" containsString="0" containsNumber="1" containsInteger="1" minValue="299" maxValue="51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50231173961994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5023117396199499"/>
    </cacheField>
    <cacheField name="MaximumAverage" numFmtId="0">
      <sharedItems containsSemiMixedTypes="0" containsString="0" containsNumber="1" minValue="0" maxValue="1.5023117396199499"/>
    </cacheField>
    <cacheField name="OverallMinimum" numFmtId="0">
      <sharedItems containsSemiMixedTypes="0" containsString="0" containsNumber="1" minValue="0" maxValue="0.56110547736932403"/>
    </cacheField>
    <cacheField name="OverallMaximum" numFmtId="0">
      <sharedItems containsSemiMixedTypes="0" containsString="0" containsNumber="1" minValue="0" maxValue="2.3634624674095601"/>
    </cacheField>
    <cacheField name="AverageNumberObservations" numFmtId="0">
      <sharedItems containsSemiMixedTypes="0" containsString="0" containsNumber="1" containsInteger="1" minValue="299" maxValue="513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5-12-04 19:42:04"/>
    <n v="1"/>
    <x v="0"/>
    <x v="0"/>
    <x v="0"/>
    <n v="322"/>
    <n v="0"/>
    <s v="Unnamed ProjectAvailable Tables.NumberSeizedTotal Number SeizedResource"/>
    <n v="1"/>
    <n v="322"/>
    <n v="0"/>
    <n v="0.95"/>
    <n v="4E+20"/>
    <n v="322"/>
    <n v="322"/>
  </r>
  <r>
    <x v="0"/>
    <s v="2025-12-04 19:42:04"/>
    <n v="1"/>
    <x v="1"/>
    <x v="1"/>
    <x v="0"/>
    <n v="0.26396692047107301"/>
    <n v="0"/>
    <s v="Unnamed ProjectAvailable Tables.ScheduledUtilizationScheduled UtilizationResource"/>
    <n v="1"/>
    <n v="0.26396692047107301"/>
    <n v="0"/>
    <n v="0.95"/>
    <n v="4E+20"/>
    <n v="0.26396692047107301"/>
    <n v="0.26396692047107301"/>
  </r>
  <r>
    <x v="0"/>
    <s v="2025-12-04 19:42:04"/>
    <n v="1"/>
    <x v="2"/>
    <x v="2"/>
    <x v="1"/>
    <n v="0"/>
    <n v="0"/>
    <s v="Unnamed ProjectClientEntity 1.NumberInNumber InEntity"/>
    <n v="1"/>
    <n v="0"/>
    <n v="0"/>
    <n v="0.95"/>
    <n v="4E+20"/>
    <n v="0"/>
    <n v="0"/>
  </r>
  <r>
    <x v="0"/>
    <s v="2025-12-04 19:42:04"/>
    <n v="1"/>
    <x v="3"/>
    <x v="3"/>
    <x v="1"/>
    <n v="0"/>
    <n v="0"/>
    <s v="Unnamed ProjectClientEntity 1.NumberOutNumber OutEntity"/>
    <n v="1"/>
    <n v="0"/>
    <n v="0"/>
    <n v="0.95"/>
    <n v="4E+20"/>
    <n v="0"/>
    <n v="0"/>
  </r>
  <r>
    <x v="0"/>
    <s v="2025-12-04 19:42:04"/>
    <n v="1"/>
    <x v="4"/>
    <x v="0"/>
    <x v="0"/>
    <n v="349"/>
    <n v="0"/>
    <s v="Unnamed ProjectEmployees clothes.NumberSeizedTotal Number SeizedResource"/>
    <n v="1"/>
    <n v="349"/>
    <n v="0"/>
    <n v="0.95"/>
    <n v="4E+20"/>
    <n v="349"/>
    <n v="349"/>
  </r>
  <r>
    <x v="0"/>
    <s v="2025-12-04 19:42:04"/>
    <n v="1"/>
    <x v="5"/>
    <x v="1"/>
    <x v="0"/>
    <n v="0.42227001748735599"/>
    <n v="0"/>
    <s v="Unnamed ProjectEmployees clothes.ScheduledUtilizationScheduled UtilizationResource"/>
    <n v="1"/>
    <n v="0.42227001748735599"/>
    <n v="0"/>
    <n v="0.95"/>
    <n v="4E+20"/>
    <n v="0.42227001748735599"/>
    <n v="0.42227001748735599"/>
  </r>
  <r>
    <x v="0"/>
    <s v="2025-12-04 19:42:04"/>
    <n v="1"/>
    <x v="6"/>
    <x v="0"/>
    <x v="0"/>
    <n v="299"/>
    <n v="0"/>
    <s v="Unnamed ProjectEmployees shoe.NumberSeizedTotal Number SeizedResource"/>
    <n v="1"/>
    <n v="299"/>
    <n v="0"/>
    <n v="0.95"/>
    <n v="4E+20"/>
    <n v="299"/>
    <n v="299"/>
  </r>
  <r>
    <x v="0"/>
    <s v="2025-12-04 19:42:04"/>
    <n v="1"/>
    <x v="7"/>
    <x v="1"/>
    <x v="0"/>
    <n v="0.56682214763302197"/>
    <n v="0"/>
    <s v="Unnamed ProjectEmployees shoe.ScheduledUtilizationScheduled UtilizationResource"/>
    <n v="1"/>
    <n v="0.56682214763302197"/>
    <n v="0"/>
    <n v="0.95"/>
    <n v="4E+20"/>
    <n v="0.56682214763302197"/>
    <n v="0.56682214763302197"/>
  </r>
  <r>
    <x v="0"/>
    <s v="2025-12-04 19:42:04"/>
    <n v="1"/>
    <x v="8"/>
    <x v="2"/>
    <x v="1"/>
    <n v="513"/>
    <n v="0"/>
    <s v="Unnamed ProjectEntity 1.NumberInNumber InEntity"/>
    <n v="1"/>
    <n v="513"/>
    <n v="0"/>
    <n v="0.95"/>
    <n v="4E+20"/>
    <n v="513"/>
    <n v="513"/>
  </r>
  <r>
    <x v="0"/>
    <s v="2025-12-04 19:42:04"/>
    <n v="1"/>
    <x v="9"/>
    <x v="3"/>
    <x v="1"/>
    <n v="513"/>
    <n v="0"/>
    <s v="Unnamed ProjectEntity 1.NumberOutNumber OutEntity"/>
    <n v="1"/>
    <n v="513"/>
    <n v="0"/>
    <n v="0.95"/>
    <n v="4E+20"/>
    <n v="513"/>
    <n v="513"/>
  </r>
  <r>
    <x v="0"/>
    <s v="2025-12-04 19:42:04"/>
    <n v="1"/>
    <x v="10"/>
    <x v="3"/>
    <x v="2"/>
    <n v="513"/>
    <n v="0"/>
    <s v="Unnamed ProjectSystem.NumberOutNumber OutSystem"/>
    <n v="1"/>
    <n v="513"/>
    <n v="0"/>
    <n v="0.95"/>
    <n v="4E+20"/>
    <n v="513"/>
    <n v="5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5-12-04 19:42:04"/>
    <n v="1"/>
    <x v="0"/>
    <x v="0"/>
    <x v="0"/>
    <n v="0.26396692047107301"/>
    <n v="3.6197903241555002E-2"/>
    <n v="0"/>
    <n v="0.76923076923076905"/>
    <n v="0"/>
    <n v="0"/>
    <s v="Unnamed ProjectAvailable TablesInstantaneous UtilizationResource"/>
    <n v="1"/>
    <n v="0.26396692047107301"/>
    <n v="0"/>
    <n v="0.95"/>
    <n v="4E+20"/>
    <n v="0.26396692047107301"/>
    <n v="0.26396692047107301"/>
    <n v="3.6197903241555002E-2"/>
  </r>
  <r>
    <x v="0"/>
    <s v="2025-12-04 19:42:04"/>
    <n v="1"/>
    <x v="0"/>
    <x v="1"/>
    <x v="0"/>
    <n v="3.4315699661239498"/>
    <n v="0.470572742140214"/>
    <n v="0"/>
    <n v="10"/>
    <n v="0"/>
    <n v="0"/>
    <s v="Unnamed ProjectAvailable TablesNumber BusyResource"/>
    <n v="1"/>
    <n v="3.4315699661239498"/>
    <n v="0"/>
    <n v="0.95"/>
    <n v="4E+20"/>
    <n v="3.4315699661239498"/>
    <n v="3.4315699661239498"/>
    <n v="0.470572742140214"/>
  </r>
  <r>
    <x v="0"/>
    <s v="2025-12-04 19:42:04"/>
    <n v="1"/>
    <x v="0"/>
    <x v="2"/>
    <x v="0"/>
    <n v="13"/>
    <n v="2E+20"/>
    <n v="13"/>
    <n v="13"/>
    <n v="13"/>
    <n v="0"/>
    <s v="Unnamed ProjectAvailable TablesNumber ScheduledResource"/>
    <n v="1"/>
    <n v="13"/>
    <n v="0"/>
    <n v="0.95"/>
    <n v="4E+20"/>
    <n v="13"/>
    <n v="13"/>
    <n v="2E+20"/>
  </r>
  <r>
    <x v="0"/>
    <s v="2025-12-04 19:42:04"/>
    <n v="1"/>
    <x v="1"/>
    <x v="3"/>
    <x v="1"/>
    <n v="0"/>
    <n v="2E+20"/>
    <n v="0"/>
    <n v="0"/>
    <n v="0"/>
    <n v="0"/>
    <s v="Unnamed ProjectChinese Restaurant.QueueNumber WaitingQueue"/>
    <n v="1"/>
    <n v="0"/>
    <n v="0"/>
    <n v="0.95"/>
    <n v="4E+20"/>
    <n v="0"/>
    <n v="0"/>
    <n v="2E+20"/>
  </r>
  <r>
    <x v="0"/>
    <s v="2025-12-04 19:42:04"/>
    <n v="1"/>
    <x v="2"/>
    <x v="4"/>
    <x v="2"/>
    <n v="0"/>
    <n v="2E+20"/>
    <n v="0"/>
    <n v="0"/>
    <n v="0"/>
    <n v="0"/>
    <s v="Unnamed ProjectClientEntity 1WIPEntity"/>
    <n v="1"/>
    <n v="0"/>
    <n v="0"/>
    <n v="0.95"/>
    <n v="4E+20"/>
    <n v="0"/>
    <n v="0"/>
    <n v="2E+20"/>
  </r>
  <r>
    <x v="0"/>
    <s v="2025-12-04 19:42:04"/>
    <n v="1"/>
    <x v="3"/>
    <x v="3"/>
    <x v="1"/>
    <n v="2.8555911241907601E-2"/>
    <n v="2E+20"/>
    <n v="0"/>
    <n v="3"/>
    <n v="0"/>
    <n v="0"/>
    <s v="Unnamed ProjectClothes shop.QueueNumber WaitingQueue"/>
    <n v="1"/>
    <n v="2.8555911241907601E-2"/>
    <n v="0"/>
    <n v="0.95"/>
    <n v="4E+20"/>
    <n v="2.8555911241907601E-2"/>
    <n v="2.8555911241907601E-2"/>
    <n v="2E+20"/>
  </r>
  <r>
    <x v="0"/>
    <s v="2025-12-04 19:42:04"/>
    <n v="1"/>
    <x v="4"/>
    <x v="0"/>
    <x v="0"/>
    <n v="0.42227001748735599"/>
    <n v="5.4862550356549501E-2"/>
    <n v="0"/>
    <n v="1"/>
    <n v="0"/>
    <n v="0"/>
    <s v="Unnamed ProjectEmployees clothesInstantaneous UtilizationResource"/>
    <n v="1"/>
    <n v="0.42227001748735599"/>
    <n v="0"/>
    <n v="0.95"/>
    <n v="4E+20"/>
    <n v="0.42227001748735599"/>
    <n v="0.42227001748735599"/>
    <n v="5.4862550356549501E-2"/>
  </r>
  <r>
    <x v="0"/>
    <s v="2025-12-04 19:42:04"/>
    <n v="1"/>
    <x v="4"/>
    <x v="1"/>
    <x v="0"/>
    <n v="2.5336201049241298"/>
    <n v="0.32917530213929702"/>
    <n v="0"/>
    <n v="6"/>
    <n v="0"/>
    <n v="0"/>
    <s v="Unnamed ProjectEmployees clothesNumber BusyResource"/>
    <n v="1"/>
    <n v="2.5336201049241298"/>
    <n v="0"/>
    <n v="0.95"/>
    <n v="4E+20"/>
    <n v="2.5336201049241298"/>
    <n v="2.5336201049241298"/>
    <n v="0.32917530213929702"/>
  </r>
  <r>
    <x v="0"/>
    <s v="2025-12-04 19:42:04"/>
    <n v="1"/>
    <x v="4"/>
    <x v="2"/>
    <x v="0"/>
    <n v="6"/>
    <n v="2E+20"/>
    <n v="6"/>
    <n v="6"/>
    <n v="6"/>
    <n v="0"/>
    <s v="Unnamed ProjectEmployees clothesNumber ScheduledResource"/>
    <n v="1"/>
    <n v="6"/>
    <n v="0"/>
    <n v="0.95"/>
    <n v="4E+20"/>
    <n v="6"/>
    <n v="6"/>
    <n v="2E+20"/>
  </r>
  <r>
    <x v="0"/>
    <s v="2025-12-04 19:42:04"/>
    <n v="1"/>
    <x v="5"/>
    <x v="0"/>
    <x v="0"/>
    <n v="0.56682214763302197"/>
    <n v="7.9260131686330906E-2"/>
    <n v="0"/>
    <n v="1"/>
    <n v="0"/>
    <n v="0"/>
    <s v="Unnamed ProjectEmployees shoeInstantaneous UtilizationResource"/>
    <n v="1"/>
    <n v="0.56682214763302197"/>
    <n v="0"/>
    <n v="0.95"/>
    <n v="4E+20"/>
    <n v="0.56682214763302197"/>
    <n v="0.56682214763302197"/>
    <n v="7.9260131686330906E-2"/>
  </r>
  <r>
    <x v="0"/>
    <s v="2025-12-04 19:42:04"/>
    <n v="1"/>
    <x v="5"/>
    <x v="1"/>
    <x v="0"/>
    <n v="2.8341107381651098"/>
    <n v="0.39630065843165502"/>
    <n v="0"/>
    <n v="5"/>
    <n v="0"/>
    <n v="0"/>
    <s v="Unnamed ProjectEmployees shoeNumber BusyResource"/>
    <n v="1"/>
    <n v="2.8341107381651098"/>
    <n v="0"/>
    <n v="0.95"/>
    <n v="4E+20"/>
    <n v="2.8341107381651098"/>
    <n v="2.8341107381651098"/>
    <n v="0.39630065843165502"/>
  </r>
  <r>
    <x v="0"/>
    <s v="2025-12-04 19:42:04"/>
    <n v="1"/>
    <x v="5"/>
    <x v="2"/>
    <x v="0"/>
    <n v="5"/>
    <n v="2E+20"/>
    <n v="5"/>
    <n v="5"/>
    <n v="5"/>
    <n v="0"/>
    <s v="Unnamed ProjectEmployees shoeNumber ScheduledResource"/>
    <n v="1"/>
    <n v="5"/>
    <n v="0"/>
    <n v="0.95"/>
    <n v="4E+20"/>
    <n v="5"/>
    <n v="5"/>
    <n v="2E+20"/>
  </r>
  <r>
    <x v="0"/>
    <s v="2025-12-04 19:42:04"/>
    <n v="1"/>
    <x v="6"/>
    <x v="4"/>
    <x v="2"/>
    <n v="8.9681758112057199"/>
    <n v="0.93013263050660999"/>
    <n v="0"/>
    <n v="21"/>
    <n v="0"/>
    <n v="0"/>
    <s v="Unnamed ProjectEntity 1WIPEntity"/>
    <n v="1"/>
    <n v="8.9681758112057199"/>
    <n v="0"/>
    <n v="0.95"/>
    <n v="4E+20"/>
    <n v="8.9681758112057199"/>
    <n v="8.9681758112057199"/>
    <n v="0.93013263050660999"/>
  </r>
  <r>
    <x v="0"/>
    <s v="2025-12-04 19:42:04"/>
    <n v="1"/>
    <x v="7"/>
    <x v="3"/>
    <x v="1"/>
    <n v="0.140319090750606"/>
    <n v="2E+20"/>
    <n v="0"/>
    <n v="5"/>
    <n v="0"/>
    <n v="0"/>
    <s v="Unnamed ProjectShoe store.QueueNumber WaitingQueue"/>
    <n v="1"/>
    <n v="0.140319090750606"/>
    <n v="0"/>
    <n v="0.95"/>
    <n v="4E+20"/>
    <n v="0.140319090750606"/>
    <n v="0.140319090750606"/>
    <n v="2E+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5-12-04 19:42:04"/>
    <n v="1"/>
    <x v="0"/>
    <x v="0"/>
    <x v="0"/>
    <n v="0"/>
    <n v="0"/>
    <n v="0"/>
    <n v="0"/>
    <n v="322"/>
    <s v="Unnamed ProjectChinese Restaurant.QueueWaiting TimeQueue"/>
    <n v="1"/>
    <n v="0"/>
    <n v="0"/>
    <n v="0.95"/>
    <n v="4E+20"/>
    <n v="0"/>
    <n v="0"/>
    <n v="0"/>
    <n v="0"/>
    <n v="322"/>
    <n v="0"/>
    <n v="1"/>
    <n v="1"/>
  </r>
  <r>
    <x v="0"/>
    <s v="2025-12-04 19:42:04"/>
    <n v="1"/>
    <x v="1"/>
    <x v="0"/>
    <x v="0"/>
    <n v="7.0314340707891996E-3"/>
    <n v="7.4581408150505204E-3"/>
    <n v="0"/>
    <n v="0.31957408343163202"/>
    <n v="349"/>
    <s v="Unnamed ProjectClothes shop.QueueWaiting TimeQueue"/>
    <n v="1"/>
    <n v="7.0314340707891996E-3"/>
    <n v="0"/>
    <n v="0.95"/>
    <n v="4E+20"/>
    <n v="7.0314340707891996E-3"/>
    <n v="7.0314340707891996E-3"/>
    <n v="0"/>
    <n v="0.31957408343163202"/>
    <n v="349"/>
    <n v="7.4581408150505204E-3"/>
    <n v="1"/>
    <n v="1"/>
  </r>
  <r>
    <x v="0"/>
    <s v="2025-12-04 19:42:04"/>
    <n v="1"/>
    <x v="2"/>
    <x v="1"/>
    <x v="1"/>
    <n v="0"/>
    <n v="0"/>
    <n v="0"/>
    <n v="0"/>
    <n v="513"/>
    <s v="Unnamed ProjectEntity 1NVA TimeEntity"/>
    <n v="1"/>
    <n v="0"/>
    <n v="0"/>
    <n v="0.95"/>
    <n v="4E+20"/>
    <n v="0"/>
    <n v="0"/>
    <n v="0"/>
    <n v="0"/>
    <n v="513"/>
    <n v="0"/>
    <n v="1"/>
    <n v="1"/>
  </r>
  <r>
    <x v="0"/>
    <s v="2025-12-04 19:42:04"/>
    <n v="1"/>
    <x v="2"/>
    <x v="2"/>
    <x v="1"/>
    <n v="0"/>
    <n v="0"/>
    <n v="0"/>
    <n v="0"/>
    <n v="513"/>
    <s v="Unnamed ProjectEntity 1Other TimeEntity"/>
    <n v="1"/>
    <n v="0"/>
    <n v="0"/>
    <n v="0.95"/>
    <n v="4E+20"/>
    <n v="0"/>
    <n v="0"/>
    <n v="0"/>
    <n v="0"/>
    <n v="513"/>
    <n v="0"/>
    <n v="1"/>
    <n v="1"/>
  </r>
  <r>
    <x v="0"/>
    <s v="2025-12-04 19:42:04"/>
    <n v="1"/>
    <x v="2"/>
    <x v="3"/>
    <x v="1"/>
    <n v="1.5023117396199499"/>
    <n v="2.9729922232330199E-2"/>
    <n v="0.56110547736932403"/>
    <n v="2.3634624674095601"/>
    <n v="513"/>
    <s v="Unnamed ProjectEntity 1Total TimeEntity"/>
    <n v="1"/>
    <n v="1.5023117396199499"/>
    <n v="0"/>
    <n v="0.95"/>
    <n v="4E+20"/>
    <n v="1.5023117396199499"/>
    <n v="1.5023117396199499"/>
    <n v="0.56110547736932403"/>
    <n v="2.3634624674095601"/>
    <n v="513"/>
    <n v="2.9729922232330199E-2"/>
    <n v="1"/>
    <n v="1"/>
  </r>
  <r>
    <x v="0"/>
    <s v="2025-12-04 19:42:04"/>
    <n v="1"/>
    <x v="2"/>
    <x v="4"/>
    <x v="1"/>
    <n v="0"/>
    <n v="0"/>
    <n v="0"/>
    <n v="0"/>
    <n v="513"/>
    <s v="Unnamed ProjectEntity 1Transfer TimeEntity"/>
    <n v="1"/>
    <n v="0"/>
    <n v="0"/>
    <n v="0.95"/>
    <n v="4E+20"/>
    <n v="0"/>
    <n v="0"/>
    <n v="0"/>
    <n v="0"/>
    <n v="513"/>
    <n v="0"/>
    <n v="1"/>
    <n v="1"/>
  </r>
  <r>
    <x v="0"/>
    <s v="2025-12-04 19:42:04"/>
    <n v="1"/>
    <x v="2"/>
    <x v="5"/>
    <x v="1"/>
    <n v="1.4740224973746501"/>
    <n v="2.4277973489224999E-2"/>
    <n v="0.53824799681986202"/>
    <n v="2.2945692585956801"/>
    <n v="513"/>
    <s v="Unnamed ProjectEntity 1VA TimeEntity"/>
    <n v="1"/>
    <n v="1.4740224973746501"/>
    <n v="0"/>
    <n v="0.95"/>
    <n v="4E+20"/>
    <n v="1.4740224973746501"/>
    <n v="1.4740224973746501"/>
    <n v="0.53824799681986202"/>
    <n v="2.2945692585956801"/>
    <n v="513"/>
    <n v="2.4277973489224999E-2"/>
    <n v="1"/>
    <n v="1"/>
  </r>
  <r>
    <x v="0"/>
    <s v="2025-12-04 19:42:04"/>
    <n v="1"/>
    <x v="2"/>
    <x v="6"/>
    <x v="1"/>
    <n v="2.82892422453065E-2"/>
    <n v="1.53666594976993E-2"/>
    <n v="0"/>
    <n v="0.68120585700705005"/>
    <n v="513"/>
    <s v="Unnamed ProjectEntity 1Wait TimeEntity"/>
    <n v="1"/>
    <n v="2.82892422453065E-2"/>
    <n v="0"/>
    <n v="0.95"/>
    <n v="4E+20"/>
    <n v="2.82892422453065E-2"/>
    <n v="2.82892422453065E-2"/>
    <n v="0"/>
    <n v="0.68120585700705005"/>
    <n v="513"/>
    <n v="1.53666594976993E-2"/>
    <n v="1"/>
    <n v="1"/>
  </r>
  <r>
    <x v="0"/>
    <s v="2025-12-04 19:42:04"/>
    <n v="1"/>
    <x v="3"/>
    <x v="0"/>
    <x v="0"/>
    <n v="4.0329133047280197E-2"/>
    <n v="2E+20"/>
    <n v="0"/>
    <n v="0.64906984514837496"/>
    <n v="299"/>
    <s v="Unnamed ProjectShoe store.QueueWaiting TimeQueue"/>
    <n v="1"/>
    <n v="4.0329133047280197E-2"/>
    <n v="0"/>
    <n v="0.95"/>
    <n v="4E+20"/>
    <n v="4.0329133047280197E-2"/>
    <n v="4.0329133047280197E-2"/>
    <n v="0"/>
    <n v="0.64906984514837496"/>
    <n v="299"/>
    <n v="2E+20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10"/>
        <item m="1" x="70"/>
        <item m="1" x="57"/>
        <item m="1" x="74"/>
        <item m="1" x="59"/>
        <item x="8"/>
        <item x="9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3"/>
        <item m="1" x="25"/>
        <item m="1" x="86"/>
        <item m="1" x="53"/>
        <item m="1" x="20"/>
        <item m="1" x="81"/>
        <item m="1" x="77"/>
        <item m="1" x="54"/>
        <item m="1" x="21"/>
        <item m="1" x="82"/>
        <item m="1" x="78"/>
        <item m="1" x="16"/>
        <item m="1" x="50"/>
        <item m="1" x="34"/>
        <item m="1" x="24"/>
        <item m="1" x="75"/>
        <item m="1" x="46"/>
        <item m="1" x="76"/>
        <item m="1" x="47"/>
        <item m="1" x="33"/>
        <item m="1" x="28"/>
        <item m="1" x="55"/>
        <item m="1" x="30"/>
        <item m="1" x="85"/>
        <item m="1" x="79"/>
        <item m="1" x="29"/>
        <item m="1" x="27"/>
        <item m="1" x="72"/>
        <item m="1" x="80"/>
        <item m="1" x="17"/>
        <item m="1" x="35"/>
        <item m="1" x="48"/>
        <item m="1" x="69"/>
        <item m="1" x="84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6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3"/>
        <item m="1" x="14"/>
        <item m="1" x="30"/>
        <item m="1" x="39"/>
        <item m="1" x="52"/>
        <item m="1" x="51"/>
        <item m="1" x="15"/>
        <item m="1" x="116"/>
        <item m="1" x="94"/>
        <item m="1" x="57"/>
        <item m="1" x="44"/>
        <item m="1" x="48"/>
        <item x="6"/>
        <item m="1" x="33"/>
        <item m="1" x="115"/>
        <item m="1" x="37"/>
        <item m="1" x="88"/>
        <item m="1" x="102"/>
        <item m="1" x="12"/>
        <item m="1" x="38"/>
        <item m="1" x="125"/>
        <item m="1" x="27"/>
        <item m="1" x="117"/>
        <item m="1" x="16"/>
        <item m="1" x="43"/>
        <item m="1" x="69"/>
        <item m="1" x="13"/>
        <item m="1" x="19"/>
        <item m="1" x="89"/>
        <item m="1" x="70"/>
        <item m="1" x="104"/>
        <item m="1" x="60"/>
        <item m="1" x="24"/>
        <item m="1" x="54"/>
        <item m="1" x="90"/>
        <item m="1" x="75"/>
        <item m="1" x="25"/>
        <item m="1" x="35"/>
        <item m="1" x="97"/>
        <item m="1" x="11"/>
        <item m="1" x="124"/>
        <item m="1" x="82"/>
        <item m="1" x="22"/>
        <item m="1" x="107"/>
        <item m="1" x="53"/>
        <item m="1" x="126"/>
        <item m="1" x="87"/>
        <item m="1" x="29"/>
        <item m="1" x="74"/>
        <item m="1" x="93"/>
        <item m="1" x="106"/>
        <item m="1" x="114"/>
        <item m="1" x="123"/>
        <item m="1" x="10"/>
        <item m="1" x="28"/>
        <item m="1" x="42"/>
        <item m="1" x="31"/>
        <item m="1" x="9"/>
        <item m="1" x="103"/>
        <item m="1" x="120"/>
        <item m="1" x="46"/>
        <item m="1" x="81"/>
        <item m="1" x="34"/>
        <item m="1" x="55"/>
        <item m="1" x="40"/>
        <item m="1" x="64"/>
        <item m="1" x="49"/>
        <item m="1" x="71"/>
        <item m="1" x="56"/>
        <item m="1" x="83"/>
        <item m="1" x="65"/>
        <item m="1" x="91"/>
        <item m="1" x="72"/>
        <item m="1" x="100"/>
        <item m="1" x="84"/>
        <item m="1" x="105"/>
        <item m="1" x="92"/>
        <item m="1" x="109"/>
        <item m="1" x="121"/>
        <item m="1" x="111"/>
        <item m="1" x="95"/>
        <item m="1" x="68"/>
        <item m="1" x="47"/>
        <item m="1" x="62"/>
        <item m="1" x="26"/>
        <item m="1" x="32"/>
        <item m="1" x="41"/>
        <item m="1" x="45"/>
        <item m="1" x="77"/>
        <item m="1" x="122"/>
        <item m="1" x="112"/>
        <item m="1" x="96"/>
        <item m="1" x="63"/>
        <item m="1" x="130"/>
        <item m="1" x="79"/>
        <item m="1" x="67"/>
        <item m="1" x="99"/>
        <item m="1" x="80"/>
        <item m="1" x="59"/>
        <item m="1" x="66"/>
        <item m="1" x="20"/>
        <item m="1" x="85"/>
        <item m="1" x="101"/>
        <item m="1" x="110"/>
        <item m="1" x="118"/>
        <item m="1" x="129"/>
        <item m="1" x="17"/>
        <item m="1" x="36"/>
        <item m="1" x="128"/>
        <item m="1" x="18"/>
        <item m="1" x="86"/>
        <item m="1" x="61"/>
        <item m="1" x="76"/>
        <item m="1" x="21"/>
        <item m="1" x="127"/>
        <item m="1" x="108"/>
        <item m="1" x="58"/>
        <item m="1" x="119"/>
        <item m="1" x="78"/>
        <item m="1" x="98"/>
        <item m="1" x="113"/>
        <item m="1" x="50"/>
        <item m="1" x="73"/>
        <item m="1" x="8"/>
        <item x="0"/>
        <item x="1"/>
        <item x="2"/>
        <item x="3"/>
        <item x="4"/>
        <item x="5"/>
        <item x="7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4">
    <i>
      <x v="3"/>
      <x v="12"/>
      <x v="4"/>
      <x/>
    </i>
    <i r="1"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  <i r="1">
      <x v="127"/>
      <x v="3"/>
      <x v="1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4"/>
        <item m="1" x="37"/>
        <item m="1" x="9"/>
        <item m="1" x="89"/>
        <item m="1" x="72"/>
        <item m="1" x="42"/>
        <item m="1" x="98"/>
        <item m="1" x="30"/>
        <item m="1" x="34"/>
        <item x="2"/>
        <item m="1" x="67"/>
        <item m="1" x="79"/>
        <item m="1" x="84"/>
        <item m="1" x="8"/>
        <item m="1" x="36"/>
        <item m="1" x="26"/>
        <item m="1" x="101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3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0" tableType="queryTable" totalsRowShown="0">
  <autoFilter ref="A1:Y10" xr:uid="{C3D003CA-1AFF-426C-A03D-D3AF5760DF1A}"/>
  <sortState xmlns:xlrd2="http://schemas.microsoft.com/office/spreadsheetml/2017/richdata2" ref="A2:Y10">
    <sortCondition ref="D1:D10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" tableType="queryTable" totalsRowShown="0">
  <autoFilter ref="A1:U1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15.109375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3</v>
      </c>
      <c r="E2">
        <v>1</v>
      </c>
      <c r="F2">
        <v>85.935639381876001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baseColWidth="10" defaultColWidth="8.88671875" defaultRowHeight="14.4" x14ac:dyDescent="0.3"/>
  <cols>
    <col min="1" max="1" width="33.33203125" customWidth="1"/>
    <col min="2" max="2" width="28.6640625" bestFit="1" customWidth="1"/>
    <col min="3" max="3" width="12.5546875" bestFit="1" customWidth="1"/>
    <col min="4" max="4" width="9" bestFit="1" customWidth="1"/>
    <col min="5" max="5" width="28.5546875" bestFit="1" customWidth="1"/>
    <col min="6" max="6" width="19.44140625" bestFit="1" customWidth="1"/>
    <col min="7" max="7" width="12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5546875" bestFit="1" customWidth="1"/>
    <col min="20" max="20" width="12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0" bestFit="1" customWidth="1"/>
    <col min="31" max="31" width="24.5546875" bestFit="1" customWidth="1"/>
    <col min="32" max="32" width="10.109375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0.109375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33203125" bestFit="1" customWidth="1"/>
    <col min="56" max="56" width="31.88671875" bestFit="1" customWidth="1"/>
    <col min="57" max="57" width="21.664062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74</v>
      </c>
      <c r="C3" t="s">
        <v>75</v>
      </c>
      <c r="D3" t="s">
        <v>76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513</v>
      </c>
      <c r="O3" t="s">
        <v>66</v>
      </c>
      <c r="P3" t="s">
        <v>74</v>
      </c>
      <c r="Q3" t="s">
        <v>90</v>
      </c>
      <c r="R3" t="s">
        <v>76</v>
      </c>
      <c r="S3" s="5">
        <v>8.9681758112057199</v>
      </c>
      <c r="T3" s="5">
        <v>0.93013263050660999</v>
      </c>
      <c r="U3" s="5">
        <v>0</v>
      </c>
      <c r="V3" s="5">
        <v>8.9681758112057199</v>
      </c>
      <c r="W3" s="5">
        <v>8.9681758112057199</v>
      </c>
      <c r="X3" s="5">
        <v>0</v>
      </c>
      <c r="Y3" s="5">
        <v>21</v>
      </c>
      <c r="AA3" t="s">
        <v>109</v>
      </c>
      <c r="AB3" t="s">
        <v>109</v>
      </c>
      <c r="AC3" t="s">
        <v>109</v>
      </c>
      <c r="AD3" t="s">
        <v>109</v>
      </c>
      <c r="AE3" s="5"/>
      <c r="AF3" s="5"/>
      <c r="AG3" s="5"/>
      <c r="AH3" s="5"/>
      <c r="AI3" s="5"/>
      <c r="AK3" t="s">
        <v>66</v>
      </c>
      <c r="AL3" t="s">
        <v>107</v>
      </c>
      <c r="AM3" t="s">
        <v>100</v>
      </c>
      <c r="AN3" t="s">
        <v>108</v>
      </c>
      <c r="AO3" s="5">
        <v>513</v>
      </c>
      <c r="AP3" s="5">
        <v>4E+20</v>
      </c>
      <c r="AQ3" s="5">
        <v>0</v>
      </c>
      <c r="AR3" s="5">
        <v>513</v>
      </c>
      <c r="AS3" s="5">
        <v>513</v>
      </c>
      <c r="AU3" t="s">
        <v>109</v>
      </c>
      <c r="AV3" t="s">
        <v>109</v>
      </c>
      <c r="AW3" t="s">
        <v>109</v>
      </c>
      <c r="AX3" t="s">
        <v>109</v>
      </c>
      <c r="AY3" s="4"/>
      <c r="AZ3" s="4"/>
    </row>
    <row r="4" spans="1:52" x14ac:dyDescent="0.3">
      <c r="C4" t="s">
        <v>77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513</v>
      </c>
      <c r="P4" t="s">
        <v>83</v>
      </c>
      <c r="Q4" t="s">
        <v>84</v>
      </c>
      <c r="R4" t="s">
        <v>85</v>
      </c>
      <c r="S4" s="5">
        <v>0.26396692047107301</v>
      </c>
      <c r="T4" s="5">
        <v>3.6197903241555002E-2</v>
      </c>
      <c r="U4" s="5">
        <v>0</v>
      </c>
      <c r="V4" s="5">
        <v>0.26396692047107301</v>
      </c>
      <c r="W4" s="5">
        <v>0.26396692047107301</v>
      </c>
      <c r="X4" s="5">
        <v>0</v>
      </c>
      <c r="Y4" s="5">
        <v>0.76923076923076905</v>
      </c>
      <c r="AL4" t="s">
        <v>105</v>
      </c>
      <c r="AM4" t="s">
        <v>98</v>
      </c>
      <c r="AN4" t="s">
        <v>76</v>
      </c>
      <c r="AO4" s="5">
        <v>513</v>
      </c>
      <c r="AP4" s="5">
        <v>4E+20</v>
      </c>
      <c r="AQ4" s="5">
        <v>0</v>
      </c>
      <c r="AR4" s="5">
        <v>513</v>
      </c>
      <c r="AS4" s="5">
        <v>513</v>
      </c>
    </row>
    <row r="5" spans="1:52" x14ac:dyDescent="0.3">
      <c r="C5" t="s">
        <v>78</v>
      </c>
      <c r="D5" t="s">
        <v>76</v>
      </c>
      <c r="E5" s="5">
        <v>1.5023117396199499</v>
      </c>
      <c r="F5" s="5">
        <v>1</v>
      </c>
      <c r="G5" s="5">
        <v>2.9729922232330199E-2</v>
      </c>
      <c r="H5" s="5">
        <v>0</v>
      </c>
      <c r="I5" s="5">
        <v>1.5023117396199499</v>
      </c>
      <c r="J5" s="5">
        <v>1.5023117396199499</v>
      </c>
      <c r="K5" s="5">
        <v>0.56110547736932403</v>
      </c>
      <c r="L5" s="5">
        <v>2.3634624674095601</v>
      </c>
      <c r="M5" s="5">
        <v>513</v>
      </c>
      <c r="Q5" t="s">
        <v>86</v>
      </c>
      <c r="R5" t="s">
        <v>85</v>
      </c>
      <c r="S5" s="5">
        <v>3.4315699661239498</v>
      </c>
      <c r="T5" s="5">
        <v>0.470572742140214</v>
      </c>
      <c r="U5" s="5">
        <v>0</v>
      </c>
      <c r="V5" s="5">
        <v>3.4315699661239498</v>
      </c>
      <c r="W5" s="5">
        <v>3.4315699661239498</v>
      </c>
      <c r="X5" s="5">
        <v>0</v>
      </c>
      <c r="Y5" s="5">
        <v>10</v>
      </c>
      <c r="AL5" t="s">
        <v>106</v>
      </c>
      <c r="AM5" t="s">
        <v>100</v>
      </c>
      <c r="AN5" t="s">
        <v>76</v>
      </c>
      <c r="AO5" s="5">
        <v>513</v>
      </c>
      <c r="AP5" s="5">
        <v>4E+20</v>
      </c>
      <c r="AQ5" s="5">
        <v>0</v>
      </c>
      <c r="AR5" s="5">
        <v>513</v>
      </c>
      <c r="AS5" s="5">
        <v>513</v>
      </c>
    </row>
    <row r="6" spans="1:52" x14ac:dyDescent="0.3">
      <c r="C6" t="s">
        <v>79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513</v>
      </c>
      <c r="Q6" t="s">
        <v>87</v>
      </c>
      <c r="R6" t="s">
        <v>85</v>
      </c>
      <c r="S6" s="5">
        <v>13</v>
      </c>
      <c r="T6" s="5">
        <v>2E+20</v>
      </c>
      <c r="U6" s="5">
        <v>0</v>
      </c>
      <c r="V6" s="5">
        <v>13</v>
      </c>
      <c r="W6" s="5">
        <v>13</v>
      </c>
      <c r="X6" s="5">
        <v>13</v>
      </c>
      <c r="Y6" s="5">
        <v>13</v>
      </c>
      <c r="AL6" t="s">
        <v>93</v>
      </c>
      <c r="AM6" t="s">
        <v>94</v>
      </c>
      <c r="AN6" t="s">
        <v>85</v>
      </c>
      <c r="AO6" s="5">
        <v>322</v>
      </c>
      <c r="AP6" s="5">
        <v>4E+20</v>
      </c>
      <c r="AQ6" s="5">
        <v>0</v>
      </c>
      <c r="AR6" s="5">
        <v>322</v>
      </c>
      <c r="AS6" s="5">
        <v>322</v>
      </c>
    </row>
    <row r="7" spans="1:52" x14ac:dyDescent="0.3">
      <c r="C7" t="s">
        <v>80</v>
      </c>
      <c r="D7" t="s">
        <v>76</v>
      </c>
      <c r="E7" s="5">
        <v>1.4740224973746501</v>
      </c>
      <c r="F7" s="5">
        <v>1</v>
      </c>
      <c r="G7" s="5">
        <v>2.4277973489224999E-2</v>
      </c>
      <c r="H7" s="5">
        <v>0</v>
      </c>
      <c r="I7" s="5">
        <v>1.4740224973746501</v>
      </c>
      <c r="J7" s="5">
        <v>1.4740224973746501</v>
      </c>
      <c r="K7" s="5">
        <v>0.53824799681986202</v>
      </c>
      <c r="L7" s="5">
        <v>2.2945692585956801</v>
      </c>
      <c r="M7" s="5">
        <v>513</v>
      </c>
      <c r="P7" t="s">
        <v>70</v>
      </c>
      <c r="Q7" t="s">
        <v>88</v>
      </c>
      <c r="R7" t="s">
        <v>72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95</v>
      </c>
      <c r="AM7" t="s">
        <v>96</v>
      </c>
      <c r="AN7" t="s">
        <v>85</v>
      </c>
      <c r="AO7" s="5">
        <v>0.26396692047107301</v>
      </c>
      <c r="AP7" s="5">
        <v>4E+20</v>
      </c>
      <c r="AQ7" s="5">
        <v>0</v>
      </c>
      <c r="AR7" s="5">
        <v>0.26396692047107301</v>
      </c>
      <c r="AS7" s="5">
        <v>0.26396692047107301</v>
      </c>
    </row>
    <row r="8" spans="1:52" x14ac:dyDescent="0.3">
      <c r="C8" t="s">
        <v>81</v>
      </c>
      <c r="D8" t="s">
        <v>76</v>
      </c>
      <c r="E8" s="5">
        <v>2.82892422453065E-2</v>
      </c>
      <c r="F8" s="5">
        <v>1</v>
      </c>
      <c r="G8" s="5">
        <v>1.53666594976993E-2</v>
      </c>
      <c r="H8" s="5">
        <v>0</v>
      </c>
      <c r="I8" s="5">
        <v>2.82892422453065E-2</v>
      </c>
      <c r="J8" s="5">
        <v>2.82892422453065E-2</v>
      </c>
      <c r="K8" s="5">
        <v>0</v>
      </c>
      <c r="L8" s="5">
        <v>0.68120585700705005</v>
      </c>
      <c r="M8" s="5">
        <v>513</v>
      </c>
      <c r="P8" t="s">
        <v>89</v>
      </c>
      <c r="Q8" t="s">
        <v>90</v>
      </c>
      <c r="R8" t="s">
        <v>76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97</v>
      </c>
      <c r="AM8" t="s">
        <v>98</v>
      </c>
      <c r="AN8" t="s">
        <v>76</v>
      </c>
      <c r="AO8" s="5">
        <v>0</v>
      </c>
      <c r="AP8" s="5">
        <v>4E+20</v>
      </c>
      <c r="AQ8" s="5">
        <v>0</v>
      </c>
      <c r="AR8" s="5">
        <v>0</v>
      </c>
      <c r="AS8" s="5">
        <v>0</v>
      </c>
    </row>
    <row r="9" spans="1:52" x14ac:dyDescent="0.3">
      <c r="B9" t="s">
        <v>70</v>
      </c>
      <c r="C9" t="s">
        <v>71</v>
      </c>
      <c r="D9" t="s">
        <v>72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322</v>
      </c>
      <c r="P9" t="s">
        <v>73</v>
      </c>
      <c r="Q9" t="s">
        <v>88</v>
      </c>
      <c r="R9" t="s">
        <v>72</v>
      </c>
      <c r="S9" s="5">
        <v>2.8555911241907601E-2</v>
      </c>
      <c r="T9" s="5">
        <v>2E+20</v>
      </c>
      <c r="U9" s="5">
        <v>0</v>
      </c>
      <c r="V9" s="5">
        <v>2.8555911241907601E-2</v>
      </c>
      <c r="W9" s="5">
        <v>2.8555911241907601E-2</v>
      </c>
      <c r="X9" s="5">
        <v>0</v>
      </c>
      <c r="Y9" s="5">
        <v>3</v>
      </c>
      <c r="AL9" t="s">
        <v>99</v>
      </c>
      <c r="AM9" t="s">
        <v>100</v>
      </c>
      <c r="AN9" t="s">
        <v>76</v>
      </c>
      <c r="AO9" s="5">
        <v>0</v>
      </c>
      <c r="AP9" s="5">
        <v>4E+20</v>
      </c>
      <c r="AQ9" s="5">
        <v>0</v>
      </c>
      <c r="AR9" s="5">
        <v>0</v>
      </c>
      <c r="AS9" s="5">
        <v>0</v>
      </c>
    </row>
    <row r="10" spans="1:52" x14ac:dyDescent="0.3">
      <c r="B10" t="s">
        <v>73</v>
      </c>
      <c r="C10" t="s">
        <v>71</v>
      </c>
      <c r="D10" t="s">
        <v>72</v>
      </c>
      <c r="E10" s="5">
        <v>7.0314340707891996E-3</v>
      </c>
      <c r="F10" s="5">
        <v>1</v>
      </c>
      <c r="G10" s="5">
        <v>7.4581408150505204E-3</v>
      </c>
      <c r="H10" s="5">
        <v>0</v>
      </c>
      <c r="I10" s="5">
        <v>7.0314340707891996E-3</v>
      </c>
      <c r="J10" s="5">
        <v>7.0314340707891996E-3</v>
      </c>
      <c r="K10" s="5">
        <v>0</v>
      </c>
      <c r="L10" s="5">
        <v>0.31957408343163202</v>
      </c>
      <c r="M10" s="5">
        <v>349</v>
      </c>
      <c r="P10" t="s">
        <v>91</v>
      </c>
      <c r="Q10" t="s">
        <v>84</v>
      </c>
      <c r="R10" t="s">
        <v>85</v>
      </c>
      <c r="S10" s="5">
        <v>0.42227001748735599</v>
      </c>
      <c r="T10" s="5">
        <v>5.4862550356549501E-2</v>
      </c>
      <c r="U10" s="5">
        <v>0</v>
      </c>
      <c r="V10" s="5">
        <v>0.42227001748735599</v>
      </c>
      <c r="W10" s="5">
        <v>0.42227001748735599</v>
      </c>
      <c r="X10" s="5">
        <v>0</v>
      </c>
      <c r="Y10" s="5">
        <v>1</v>
      </c>
      <c r="AL10" t="s">
        <v>101</v>
      </c>
      <c r="AM10" t="s">
        <v>94</v>
      </c>
      <c r="AN10" t="s">
        <v>85</v>
      </c>
      <c r="AO10" s="5">
        <v>349</v>
      </c>
      <c r="AP10" s="5">
        <v>4E+20</v>
      </c>
      <c r="AQ10" s="5">
        <v>0</v>
      </c>
      <c r="AR10" s="5">
        <v>349</v>
      </c>
      <c r="AS10" s="5">
        <v>349</v>
      </c>
    </row>
    <row r="11" spans="1:52" x14ac:dyDescent="0.3">
      <c r="B11" t="s">
        <v>82</v>
      </c>
      <c r="C11" t="s">
        <v>71</v>
      </c>
      <c r="D11" t="s">
        <v>72</v>
      </c>
      <c r="E11" s="5">
        <v>4.0329133047280197E-2</v>
      </c>
      <c r="F11" s="5">
        <v>1</v>
      </c>
      <c r="G11" s="5">
        <v>2E+20</v>
      </c>
      <c r="H11" s="5">
        <v>0</v>
      </c>
      <c r="I11" s="5">
        <v>4.0329133047280197E-2</v>
      </c>
      <c r="J11" s="5">
        <v>4.0329133047280197E-2</v>
      </c>
      <c r="K11" s="5">
        <v>0</v>
      </c>
      <c r="L11" s="5">
        <v>0.64906984514837496</v>
      </c>
      <c r="M11" s="5">
        <v>299</v>
      </c>
      <c r="Q11" t="s">
        <v>86</v>
      </c>
      <c r="R11" t="s">
        <v>85</v>
      </c>
      <c r="S11" s="5">
        <v>2.5336201049241298</v>
      </c>
      <c r="T11" s="5">
        <v>0.32917530213929702</v>
      </c>
      <c r="U11" s="5">
        <v>0</v>
      </c>
      <c r="V11" s="5">
        <v>2.5336201049241298</v>
      </c>
      <c r="W11" s="5">
        <v>2.5336201049241298</v>
      </c>
      <c r="X11" s="5">
        <v>0</v>
      </c>
      <c r="Y11" s="5">
        <v>6</v>
      </c>
      <c r="AL11" t="s">
        <v>102</v>
      </c>
      <c r="AM11" t="s">
        <v>96</v>
      </c>
      <c r="AN11" t="s">
        <v>85</v>
      </c>
      <c r="AO11" s="5">
        <v>0.42227001748735599</v>
      </c>
      <c r="AP11" s="5">
        <v>4E+20</v>
      </c>
      <c r="AQ11" s="5">
        <v>0</v>
      </c>
      <c r="AR11" s="5">
        <v>0.42227001748735599</v>
      </c>
      <c r="AS11" s="5">
        <v>0.42227001748735599</v>
      </c>
    </row>
    <row r="12" spans="1:52" x14ac:dyDescent="0.3">
      <c r="Q12" t="s">
        <v>87</v>
      </c>
      <c r="R12" t="s">
        <v>85</v>
      </c>
      <c r="S12" s="5">
        <v>6</v>
      </c>
      <c r="T12" s="5">
        <v>2E+20</v>
      </c>
      <c r="U12" s="5">
        <v>0</v>
      </c>
      <c r="V12" s="5">
        <v>6</v>
      </c>
      <c r="W12" s="5">
        <v>6</v>
      </c>
      <c r="X12" s="5">
        <v>6</v>
      </c>
      <c r="Y12" s="5">
        <v>6</v>
      </c>
      <c r="AL12" t="s">
        <v>103</v>
      </c>
      <c r="AM12" t="s">
        <v>94</v>
      </c>
      <c r="AN12" t="s">
        <v>85</v>
      </c>
      <c r="AO12" s="5">
        <v>299</v>
      </c>
      <c r="AP12" s="5">
        <v>4E+20</v>
      </c>
      <c r="AQ12" s="5">
        <v>0</v>
      </c>
      <c r="AR12" s="5">
        <v>299</v>
      </c>
      <c r="AS12" s="5">
        <v>299</v>
      </c>
    </row>
    <row r="13" spans="1:52" x14ac:dyDescent="0.3">
      <c r="P13" t="s">
        <v>92</v>
      </c>
      <c r="Q13" t="s">
        <v>84</v>
      </c>
      <c r="R13" t="s">
        <v>85</v>
      </c>
      <c r="S13" s="5">
        <v>0.56682214763302197</v>
      </c>
      <c r="T13" s="5">
        <v>7.9260131686330906E-2</v>
      </c>
      <c r="U13" s="5">
        <v>0</v>
      </c>
      <c r="V13" s="5">
        <v>0.56682214763302197</v>
      </c>
      <c r="W13" s="5">
        <v>0.56682214763302197</v>
      </c>
      <c r="X13" s="5">
        <v>0</v>
      </c>
      <c r="Y13" s="5">
        <v>1</v>
      </c>
      <c r="AL13" t="s">
        <v>104</v>
      </c>
      <c r="AM13" t="s">
        <v>96</v>
      </c>
      <c r="AN13" t="s">
        <v>85</v>
      </c>
      <c r="AO13" s="5">
        <v>0.56682214763302197</v>
      </c>
      <c r="AP13" s="5">
        <v>4E+20</v>
      </c>
      <c r="AQ13" s="5">
        <v>0</v>
      </c>
      <c r="AR13" s="5">
        <v>0.56682214763302197</v>
      </c>
      <c r="AS13" s="5">
        <v>0.56682214763302197</v>
      </c>
    </row>
    <row r="14" spans="1:52" x14ac:dyDescent="0.3">
      <c r="Q14" t="s">
        <v>86</v>
      </c>
      <c r="R14" t="s">
        <v>85</v>
      </c>
      <c r="S14" s="5">
        <v>2.8341107381651098</v>
      </c>
      <c r="T14" s="5">
        <v>0.39630065843165502</v>
      </c>
      <c r="U14" s="5">
        <v>0</v>
      </c>
      <c r="V14" s="5">
        <v>2.8341107381651098</v>
      </c>
      <c r="W14" s="5">
        <v>2.8341107381651098</v>
      </c>
      <c r="X14" s="5">
        <v>0</v>
      </c>
      <c r="Y14" s="5">
        <v>5</v>
      </c>
    </row>
    <row r="15" spans="1:52" x14ac:dyDescent="0.3">
      <c r="Q15" t="s">
        <v>87</v>
      </c>
      <c r="R15" t="s">
        <v>85</v>
      </c>
      <c r="S15" s="5">
        <v>5</v>
      </c>
      <c r="T15" s="5">
        <v>2E+20</v>
      </c>
      <c r="U15" s="5">
        <v>0</v>
      </c>
      <c r="V15" s="5">
        <v>5</v>
      </c>
      <c r="W15" s="5">
        <v>5</v>
      </c>
      <c r="X15" s="5">
        <v>5</v>
      </c>
      <c r="Y15" s="5">
        <v>5</v>
      </c>
    </row>
    <row r="16" spans="1:52" x14ac:dyDescent="0.3">
      <c r="P16" t="s">
        <v>82</v>
      </c>
      <c r="Q16" t="s">
        <v>88</v>
      </c>
      <c r="R16" t="s">
        <v>72</v>
      </c>
      <c r="S16" s="5">
        <v>0.140319090750606</v>
      </c>
      <c r="T16" s="5">
        <v>2E+20</v>
      </c>
      <c r="U16" s="5">
        <v>0</v>
      </c>
      <c r="V16" s="5">
        <v>0.140319090750606</v>
      </c>
      <c r="W16" s="5">
        <v>0.140319090750606</v>
      </c>
      <c r="X16" s="5">
        <v>0</v>
      </c>
      <c r="Y16" s="5">
        <v>5</v>
      </c>
    </row>
  </sheetData>
  <dataConsolidate/>
  <conditionalFormatting pivot="1" sqref="G3:G11">
    <cfRule type="expression" dxfId="31" priority="14">
      <formula>G3=200000000000000000000</formula>
    </cfRule>
  </conditionalFormatting>
  <conditionalFormatting pivot="1" sqref="T3:T16">
    <cfRule type="expression" dxfId="30" priority="13">
      <formula>T3=200000000000000000000</formula>
    </cfRule>
  </conditionalFormatting>
  <conditionalFormatting pivot="1" sqref="T3:T16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16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0"/>
  <sheetViews>
    <sheetView workbookViewId="0">
      <selection activeCell="A2" sqref="A2:K61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2.77734375" bestFit="1" customWidth="1"/>
    <col min="5" max="5" width="12.21875" bestFit="1" customWidth="1"/>
    <col min="6" max="6" width="9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53.554687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1.6640625" bestFit="1" customWidth="1"/>
    <col min="18" max="18" width="18.44140625" bestFit="1" customWidth="1"/>
    <col min="19" max="19" width="18.77734375" bestFit="1" customWidth="1"/>
    <col min="20" max="20" width="17.33203125" bestFit="1" customWidth="1"/>
    <col min="21" max="21" width="17.6640625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322</v>
      </c>
      <c r="L2" t="str">
        <f>DiscreteStatsTable[[#This Row],[ProjectName]]&amp;DiscreteStatsTable[[#This Row],[Name]]&amp;DiscreteStatsTable[[#This Row],[Type]]&amp;DiscreteStatsTable[[#This Row],[Source]]</f>
        <v>Unnamed ProjectChinese Restaurant.QueueWaiting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322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7.0314340707891996E-3</v>
      </c>
      <c r="H3">
        <v>7.4581408150505204E-3</v>
      </c>
      <c r="I3">
        <v>0</v>
      </c>
      <c r="J3">
        <v>0.31957408343163202</v>
      </c>
      <c r="K3">
        <v>349</v>
      </c>
      <c r="L3" t="str">
        <f>DiscreteStatsTable[[#This Row],[ProjectName]]&amp;DiscreteStatsTable[[#This Row],[Name]]&amp;DiscreteStatsTable[[#This Row],[Type]]&amp;DiscreteStatsTable[[#This Row],[Source]]</f>
        <v>Unnamed ProjectClothes shop.QueueWaiting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7.0314340707891996E-3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7.0314340707891996E-3</v>
      </c>
      <c r="S3" cm="1">
        <f t="array" ref="S3">MAX(IF((DiscreteStatsTable[GroupByKey]=DiscreteStatsTable[[#This Row],[GroupByKey]]),(DiscreteStatsTable[GroupByKey]=DiscreteStatsTable[[#This Row],[GroupByKey]])*DiscreteStatsTable[Average]))</f>
        <v>7.0314340707891996E-3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0.31957408343163202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349</v>
      </c>
      <c r="W3">
        <f>IF((DiscreteStatsTable[[#This Row],[RepsRequested]]&gt;1),DiscreteStatsTable[[#This Row],[HalfWidth]],DiscreteStatsTable[[#This Row],[BatchMeansHalfWidth]])</f>
        <v>7.4581408150505204E-3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74</v>
      </c>
      <c r="E4" t="s">
        <v>75</v>
      </c>
      <c r="F4" t="s">
        <v>76</v>
      </c>
      <c r="G4">
        <v>0</v>
      </c>
      <c r="H4">
        <v>0</v>
      </c>
      <c r="I4">
        <v>0</v>
      </c>
      <c r="J4">
        <v>0</v>
      </c>
      <c r="K4">
        <v>513</v>
      </c>
      <c r="L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513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74</v>
      </c>
      <c r="E5" t="s">
        <v>77</v>
      </c>
      <c r="F5" t="s">
        <v>76</v>
      </c>
      <c r="G5">
        <v>0</v>
      </c>
      <c r="H5">
        <v>0</v>
      </c>
      <c r="I5">
        <v>0</v>
      </c>
      <c r="J5">
        <v>0</v>
      </c>
      <c r="K5">
        <v>513</v>
      </c>
      <c r="L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513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74</v>
      </c>
      <c r="E6" t="s">
        <v>78</v>
      </c>
      <c r="F6" t="s">
        <v>76</v>
      </c>
      <c r="G6">
        <v>1.5023117396199499</v>
      </c>
      <c r="H6">
        <v>2.9729922232330199E-2</v>
      </c>
      <c r="I6">
        <v>0.56110547736932403</v>
      </c>
      <c r="J6">
        <v>2.3634624674095601</v>
      </c>
      <c r="K6">
        <v>513</v>
      </c>
      <c r="L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1.5023117396199499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1.5023117396199499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1.5023117396199499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0.56110547736932403</v>
      </c>
      <c r="U6" cm="1">
        <f t="array" ref="U6">MAX(IF((DiscreteStatsTable[GroupByKey]=DiscreteStatsTable[[#This Row],[GroupByKey]]),(DiscreteStatsTable[GroupByKey]=DiscreteStatsTable[[#This Row],[GroupByKey]])*DiscreteStatsTable[Maximum]))</f>
        <v>2.3634624674095601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513</v>
      </c>
      <c r="W6">
        <f>IF((DiscreteStatsTable[[#This Row],[RepsRequested]]&gt;1),DiscreteStatsTable[[#This Row],[HalfWidth]],DiscreteStatsTable[[#This Row],[BatchMeansHalfWidth]])</f>
        <v>2.9729922232330199E-2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74</v>
      </c>
      <c r="E7" t="s">
        <v>79</v>
      </c>
      <c r="F7" t="s">
        <v>76</v>
      </c>
      <c r="G7">
        <v>0</v>
      </c>
      <c r="H7">
        <v>0</v>
      </c>
      <c r="I7">
        <v>0</v>
      </c>
      <c r="J7">
        <v>0</v>
      </c>
      <c r="K7">
        <v>513</v>
      </c>
      <c r="L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513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1</v>
      </c>
      <c r="D8" t="s">
        <v>74</v>
      </c>
      <c r="E8" t="s">
        <v>80</v>
      </c>
      <c r="F8" t="s">
        <v>76</v>
      </c>
      <c r="G8">
        <v>1.4740224973746501</v>
      </c>
      <c r="H8">
        <v>2.4277973489224999E-2</v>
      </c>
      <c r="I8">
        <v>0.53824799681986202</v>
      </c>
      <c r="J8">
        <v>2.2945692585956801</v>
      </c>
      <c r="K8">
        <v>513</v>
      </c>
      <c r="L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1.4740224973746501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1.4740224973746501</v>
      </c>
      <c r="S8" cm="1">
        <f t="array" ref="S8">MAX(IF((DiscreteStatsTable[GroupByKey]=DiscreteStatsTable[[#This Row],[GroupByKey]]),(DiscreteStatsTable[GroupByKey]=DiscreteStatsTable[[#This Row],[GroupByKey]])*DiscreteStatsTable[Average]))</f>
        <v>1.4740224973746501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0.53824799681986202</v>
      </c>
      <c r="U8" cm="1">
        <f t="array" ref="U8">MAX(IF((DiscreteStatsTable[GroupByKey]=DiscreteStatsTable[[#This Row],[GroupByKey]]),(DiscreteStatsTable[GroupByKey]=DiscreteStatsTable[[#This Row],[GroupByKey]])*DiscreteStatsTable[Maximum]))</f>
        <v>2.2945692585956801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513</v>
      </c>
      <c r="W8">
        <f>IF((DiscreteStatsTable[[#This Row],[RepsRequested]]&gt;1),DiscreteStatsTable[[#This Row],[HalfWidth]],DiscreteStatsTable[[#This Row],[BatchMeansHalfWidth]])</f>
        <v>2.4277973489224999E-2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1</v>
      </c>
      <c r="D9" t="s">
        <v>74</v>
      </c>
      <c r="E9" t="s">
        <v>81</v>
      </c>
      <c r="F9" t="s">
        <v>76</v>
      </c>
      <c r="G9">
        <v>2.82892422453065E-2</v>
      </c>
      <c r="H9">
        <v>1.53666594976993E-2</v>
      </c>
      <c r="I9">
        <v>0</v>
      </c>
      <c r="J9">
        <v>0.68120585700705005</v>
      </c>
      <c r="K9">
        <v>513</v>
      </c>
      <c r="L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2.82892422453065E-2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2.82892422453065E-2</v>
      </c>
      <c r="S9" cm="1">
        <f t="array" ref="S9">MAX(IF((DiscreteStatsTable[GroupByKey]=DiscreteStatsTable[[#This Row],[GroupByKey]]),(DiscreteStatsTable[GroupByKey]=DiscreteStatsTable[[#This Row],[GroupByKey]])*DiscreteStatsTable[Average]))</f>
        <v>2.82892422453065E-2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0.68120585700705005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513</v>
      </c>
      <c r="W9">
        <f>IF((DiscreteStatsTable[[#This Row],[RepsRequested]]&gt;1),DiscreteStatsTable[[#This Row],[HalfWidth]],DiscreteStatsTable[[#This Row],[BatchMeansHalfWidth]])</f>
        <v>1.53666594976993E-2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1</v>
      </c>
      <c r="D10" t="s">
        <v>82</v>
      </c>
      <c r="E10" t="s">
        <v>71</v>
      </c>
      <c r="F10" t="s">
        <v>72</v>
      </c>
      <c r="G10">
        <v>4.0329133047280197E-2</v>
      </c>
      <c r="H10">
        <v>2E+20</v>
      </c>
      <c r="I10">
        <v>0</v>
      </c>
      <c r="J10">
        <v>0.64906984514837496</v>
      </c>
      <c r="K10">
        <v>299</v>
      </c>
      <c r="L10" t="str">
        <f>DiscreteStatsTable[[#This Row],[ProjectName]]&amp;DiscreteStatsTable[[#This Row],[Name]]&amp;DiscreteStatsTable[[#This Row],[Type]]&amp;DiscreteStatsTable[[#This Row],[Source]]</f>
        <v>Unnamed ProjectShoe store.QueueWaiting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4.0329133047280197E-2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4.0329133047280197E-2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4.0329133047280197E-2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0.64906984514837496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299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</sheetData>
  <phoneticPr fontId="2" type="noConversion"/>
  <conditionalFormatting sqref="H2:H10 Q2:Q10">
    <cfRule type="expression" dxfId="20" priority="23">
      <formula>H2=200000000000000000000</formula>
    </cfRule>
  </conditionalFormatting>
  <conditionalFormatting sqref="H2:H10">
    <cfRule type="expression" dxfId="19" priority="21">
      <formula>H2=300000000000000000000</formula>
    </cfRule>
  </conditionalFormatting>
  <conditionalFormatting sqref="L2:Y10">
    <cfRule type="expression" dxfId="18" priority="19">
      <formula>MOD(ROW(),2)=0</formula>
    </cfRule>
  </conditionalFormatting>
  <conditionalFormatting sqref="Y2:Y10">
    <cfRule type="expression" dxfId="17" priority="14">
      <formula>Y2=0</formula>
    </cfRule>
    <cfRule type="expression" dxfId="16" priority="16">
      <formula>Y2=1</formula>
    </cfRule>
  </conditionalFormatting>
  <conditionalFormatting sqref="Y3:Y10">
    <cfRule type="expression" dxfId="15" priority="15">
      <formula>Y3=1</formula>
    </cfRule>
  </conditionalFormatting>
  <conditionalFormatting sqref="W2:W10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0 W2:W10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5"/>
  <sheetViews>
    <sheetView workbookViewId="0">
      <selection activeCell="A2" sqref="A2:L11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2.7773437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2" bestFit="1" customWidth="1"/>
    <col min="11" max="11" width="19.44140625" bestFit="1" customWidth="1"/>
    <col min="12" max="12" width="11.33203125" bestFit="1" customWidth="1"/>
    <col min="13" max="13" width="59.109375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83</v>
      </c>
      <c r="E2" t="s">
        <v>84</v>
      </c>
      <c r="F2" t="s">
        <v>85</v>
      </c>
      <c r="G2">
        <v>0.26396692047107301</v>
      </c>
      <c r="H2">
        <v>3.6197903241555002E-2</v>
      </c>
      <c r="I2">
        <v>0</v>
      </c>
      <c r="J2">
        <v>0.76923076923076905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ProjectAvailable TablesInstantaneous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0.26396692047107301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0.26396692047107301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0.26396692047107301</v>
      </c>
      <c r="U2">
        <f>IF((ContinuousStatsTable[[#This Row],[RepsRequested]]&gt;1),ContinuousStatsTable[[#This Row],[HalfWidth]],ContinuousStatsTable[[#This Row],[BatchMeansHalfWidth]])</f>
        <v>3.6197903241555002E-2</v>
      </c>
    </row>
    <row r="3" spans="1:21" x14ac:dyDescent="0.3">
      <c r="A3" t="s">
        <v>66</v>
      </c>
      <c r="B3" t="s">
        <v>69</v>
      </c>
      <c r="C3">
        <v>1</v>
      </c>
      <c r="D3" t="s">
        <v>83</v>
      </c>
      <c r="E3" t="s">
        <v>86</v>
      </c>
      <c r="F3" t="s">
        <v>85</v>
      </c>
      <c r="G3">
        <v>3.4315699661239498</v>
      </c>
      <c r="H3">
        <v>0.470572742140214</v>
      </c>
      <c r="I3">
        <v>0</v>
      </c>
      <c r="J3">
        <v>10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ProjectAvailable TablesNumber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3.4315699661239498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3.4315699661239498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3.4315699661239498</v>
      </c>
      <c r="U3">
        <f>IF((ContinuousStatsTable[[#This Row],[RepsRequested]]&gt;1),ContinuousStatsTable[[#This Row],[HalfWidth]],ContinuousStatsTable[[#This Row],[BatchMeansHalfWidth]])</f>
        <v>0.470572742140214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87</v>
      </c>
      <c r="F4" t="s">
        <v>85</v>
      </c>
      <c r="G4">
        <v>13</v>
      </c>
      <c r="H4">
        <v>2E+20</v>
      </c>
      <c r="I4">
        <v>13</v>
      </c>
      <c r="J4">
        <v>13</v>
      </c>
      <c r="K4">
        <v>13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ProjectAvailable TablesNumber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69</v>
      </c>
      <c r="C5">
        <v>1</v>
      </c>
      <c r="D5" t="s">
        <v>70</v>
      </c>
      <c r="E5" t="s">
        <v>88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ProjectChinese Restaurant.QueueNumber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69</v>
      </c>
      <c r="C6">
        <v>1</v>
      </c>
      <c r="D6" t="s">
        <v>89</v>
      </c>
      <c r="E6" t="s">
        <v>90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ProjectClientEntity 1WIPEntity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69</v>
      </c>
      <c r="C7">
        <v>1</v>
      </c>
      <c r="D7" t="s">
        <v>73</v>
      </c>
      <c r="E7" t="s">
        <v>88</v>
      </c>
      <c r="F7" t="s">
        <v>72</v>
      </c>
      <c r="G7">
        <v>2.8555911241907601E-2</v>
      </c>
      <c r="H7">
        <v>2E+20</v>
      </c>
      <c r="I7">
        <v>0</v>
      </c>
      <c r="J7">
        <v>3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ProjectClothes shop.QueueNumber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2.8555911241907601E-2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2.8555911241907601E-2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2.8555911241907601E-2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">
      <c r="A8" t="s">
        <v>66</v>
      </c>
      <c r="B8" t="s">
        <v>69</v>
      </c>
      <c r="C8">
        <v>1</v>
      </c>
      <c r="D8" t="s">
        <v>91</v>
      </c>
      <c r="E8" t="s">
        <v>84</v>
      </c>
      <c r="F8" t="s">
        <v>85</v>
      </c>
      <c r="G8">
        <v>0.42227001748735599</v>
      </c>
      <c r="H8">
        <v>5.4862550356549501E-2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ProjectEmployees clothesInstantaneous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0.42227001748735599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0.42227001748735599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0.42227001748735599</v>
      </c>
      <c r="U8">
        <f>IF((ContinuousStatsTable[[#This Row],[RepsRequested]]&gt;1),ContinuousStatsTable[[#This Row],[HalfWidth]],ContinuousStatsTable[[#This Row],[BatchMeansHalfWidth]])</f>
        <v>5.4862550356549501E-2</v>
      </c>
    </row>
    <row r="9" spans="1:21" x14ac:dyDescent="0.3">
      <c r="A9" t="s">
        <v>66</v>
      </c>
      <c r="B9" t="s">
        <v>69</v>
      </c>
      <c r="C9">
        <v>1</v>
      </c>
      <c r="D9" t="s">
        <v>91</v>
      </c>
      <c r="E9" t="s">
        <v>86</v>
      </c>
      <c r="F9" t="s">
        <v>85</v>
      </c>
      <c r="G9">
        <v>2.5336201049241298</v>
      </c>
      <c r="H9">
        <v>0.32917530213929702</v>
      </c>
      <c r="I9">
        <v>0</v>
      </c>
      <c r="J9">
        <v>6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ProjectEmployees clothesNumber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2.5336201049241298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2.5336201049241298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2.5336201049241298</v>
      </c>
      <c r="U9">
        <f>IF((ContinuousStatsTable[[#This Row],[RepsRequested]]&gt;1),ContinuousStatsTable[[#This Row],[HalfWidth]],ContinuousStatsTable[[#This Row],[BatchMeansHalfWidth]])</f>
        <v>0.32917530213929702</v>
      </c>
    </row>
    <row r="10" spans="1:21" x14ac:dyDescent="0.3">
      <c r="A10" t="s">
        <v>66</v>
      </c>
      <c r="B10" t="s">
        <v>69</v>
      </c>
      <c r="C10">
        <v>1</v>
      </c>
      <c r="D10" t="s">
        <v>91</v>
      </c>
      <c r="E10" t="s">
        <v>87</v>
      </c>
      <c r="F10" t="s">
        <v>85</v>
      </c>
      <c r="G10">
        <v>6</v>
      </c>
      <c r="H10">
        <v>2E+20</v>
      </c>
      <c r="I10">
        <v>6</v>
      </c>
      <c r="J10">
        <v>6</v>
      </c>
      <c r="K10">
        <v>6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ProjectEmployees clothesNumber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6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6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">
      <c r="A11" t="s">
        <v>66</v>
      </c>
      <c r="B11" t="s">
        <v>69</v>
      </c>
      <c r="C11">
        <v>1</v>
      </c>
      <c r="D11" t="s">
        <v>92</v>
      </c>
      <c r="E11" t="s">
        <v>84</v>
      </c>
      <c r="F11" t="s">
        <v>85</v>
      </c>
      <c r="G11">
        <v>0.56682214763302197</v>
      </c>
      <c r="H11">
        <v>7.9260131686330906E-2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ProjectEmployees shoeInstantaneous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0.56682214763302197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0.56682214763302197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0.56682214763302197</v>
      </c>
      <c r="U11">
        <f>IF((ContinuousStatsTable[[#This Row],[RepsRequested]]&gt;1),ContinuousStatsTable[[#This Row],[HalfWidth]],ContinuousStatsTable[[#This Row],[BatchMeansHalfWidth]])</f>
        <v>7.9260131686330906E-2</v>
      </c>
    </row>
    <row r="12" spans="1:21" x14ac:dyDescent="0.3">
      <c r="A12" t="s">
        <v>66</v>
      </c>
      <c r="B12" t="s">
        <v>69</v>
      </c>
      <c r="C12">
        <v>1</v>
      </c>
      <c r="D12" t="s">
        <v>92</v>
      </c>
      <c r="E12" t="s">
        <v>86</v>
      </c>
      <c r="F12" t="s">
        <v>85</v>
      </c>
      <c r="G12">
        <v>2.8341107381651098</v>
      </c>
      <c r="H12">
        <v>0.39630065843165502</v>
      </c>
      <c r="I12">
        <v>0</v>
      </c>
      <c r="J12">
        <v>5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ProjectEmployees shoeNumber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2.8341107381651098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2.8341107381651098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2.8341107381651098</v>
      </c>
      <c r="U12" s="5">
        <f>IF((ContinuousStatsTable[[#This Row],[RepsRequested]]&gt;1),ContinuousStatsTable[[#This Row],[HalfWidth]],ContinuousStatsTable[[#This Row],[BatchMeansHalfWidth]])</f>
        <v>0.39630065843165502</v>
      </c>
    </row>
    <row r="13" spans="1:21" x14ac:dyDescent="0.3">
      <c r="A13" t="s">
        <v>66</v>
      </c>
      <c r="B13" t="s">
        <v>69</v>
      </c>
      <c r="C13">
        <v>1</v>
      </c>
      <c r="D13" t="s">
        <v>92</v>
      </c>
      <c r="E13" t="s">
        <v>87</v>
      </c>
      <c r="F13" t="s">
        <v>85</v>
      </c>
      <c r="G13">
        <v>5</v>
      </c>
      <c r="H13">
        <v>2E+20</v>
      </c>
      <c r="I13">
        <v>5</v>
      </c>
      <c r="J13">
        <v>5</v>
      </c>
      <c r="K13">
        <v>5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ProjectEmployees shoeNumber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5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5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5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">
      <c r="A14" t="s">
        <v>66</v>
      </c>
      <c r="B14" t="s">
        <v>69</v>
      </c>
      <c r="C14">
        <v>1</v>
      </c>
      <c r="D14" t="s">
        <v>74</v>
      </c>
      <c r="E14" t="s">
        <v>90</v>
      </c>
      <c r="F14" t="s">
        <v>76</v>
      </c>
      <c r="G14">
        <v>8.9681758112057199</v>
      </c>
      <c r="H14">
        <v>0.93013263050660999</v>
      </c>
      <c r="I14">
        <v>0</v>
      </c>
      <c r="J14">
        <v>21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8.9681758112057199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8.9681758112057199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8.9681758112057199</v>
      </c>
      <c r="U14" s="5">
        <f>IF((ContinuousStatsTable[[#This Row],[RepsRequested]]&gt;1),ContinuousStatsTable[[#This Row],[HalfWidth]],ContinuousStatsTable[[#This Row],[BatchMeansHalfWidth]])</f>
        <v>0.93013263050660999</v>
      </c>
    </row>
    <row r="15" spans="1:21" x14ac:dyDescent="0.3">
      <c r="A15" t="s">
        <v>66</v>
      </c>
      <c r="B15" t="s">
        <v>69</v>
      </c>
      <c r="C15">
        <v>1</v>
      </c>
      <c r="D15" t="s">
        <v>82</v>
      </c>
      <c r="E15" t="s">
        <v>88</v>
      </c>
      <c r="F15" t="s">
        <v>72</v>
      </c>
      <c r="G15">
        <v>0.140319090750606</v>
      </c>
      <c r="H15">
        <v>2E+20</v>
      </c>
      <c r="I15">
        <v>0</v>
      </c>
      <c r="J15">
        <v>5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ProjectShoe store.QueueNumber WaitingQueue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0.140319090750606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0.140319090750606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0.140319090750606</v>
      </c>
      <c r="U15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5">
    <cfRule type="expression" dxfId="11" priority="9">
      <formula>H2=200000000000000000000</formula>
    </cfRule>
  </conditionalFormatting>
  <conditionalFormatting sqref="H2:H15">
    <cfRule type="expression" dxfId="10" priority="7">
      <formula>H2=300000000000000000000</formula>
    </cfRule>
  </conditionalFormatting>
  <conditionalFormatting sqref="M2:U15">
    <cfRule type="expression" dxfId="9" priority="5">
      <formula>MOD(ROW(),2)=0</formula>
    </cfRule>
  </conditionalFormatting>
  <conditionalFormatting sqref="U2:U15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5 U2:U15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" bestFit="1" customWidth="1"/>
    <col min="8" max="8" width="13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33.6640625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73.21875" bestFit="1" customWidth="1"/>
    <col min="10" max="10" width="16.109375" bestFit="1" customWidth="1"/>
    <col min="11" max="11" width="12" bestFit="1" customWidth="1"/>
    <col min="12" max="12" width="19" bestFit="1" customWidth="1"/>
    <col min="13" max="13" width="19.332031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93</v>
      </c>
      <c r="E2" t="s">
        <v>94</v>
      </c>
      <c r="F2" t="s">
        <v>85</v>
      </c>
      <c r="G2">
        <v>322</v>
      </c>
      <c r="H2">
        <v>0</v>
      </c>
      <c r="I2" t="str">
        <f>OutputTable[[#This Row],[ProjectName]]&amp;OutputTable[[#This Row],[Name]]&amp;OutputTable[[#This Row],[Type]]&amp;OutputTable[[#This Row],[Source]]</f>
        <v>Unnamed ProjectAvailable Tables.NumberSeizedTotal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322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322</v>
      </c>
      <c r="P2" cm="1">
        <f t="array" ref="P2">MAX(IF((OutputTable[GroupByKey]=OutputTable[[#This Row],[GroupByKey]]),(OutputTable[GroupByKey]=OutputTable[[#This Row],[GroupByKey]])*OutputTable[RecordedValue]))</f>
        <v>322</v>
      </c>
    </row>
    <row r="3" spans="1:16" x14ac:dyDescent="0.3">
      <c r="A3" t="s">
        <v>66</v>
      </c>
      <c r="B3" t="s">
        <v>69</v>
      </c>
      <c r="C3">
        <v>1</v>
      </c>
      <c r="D3" t="s">
        <v>95</v>
      </c>
      <c r="E3" t="s">
        <v>96</v>
      </c>
      <c r="F3" t="s">
        <v>85</v>
      </c>
      <c r="G3">
        <v>0.26396692047107301</v>
      </c>
      <c r="H3">
        <v>0</v>
      </c>
      <c r="I3" t="str">
        <f>OutputTable[[#This Row],[ProjectName]]&amp;OutputTable[[#This Row],[Name]]&amp;OutputTable[[#This Row],[Type]]&amp;OutputTable[[#This Row],[Source]]</f>
        <v>Unnamed ProjectAvailable Tables.ScheduledUtilizationScheduled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0.26396692047107301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0.26396692047107301</v>
      </c>
      <c r="P3" cm="1">
        <f t="array" ref="P3">MAX(IF((OutputTable[GroupByKey]=OutputTable[[#This Row],[GroupByKey]]),(OutputTable[GroupByKey]=OutputTable[[#This Row],[GroupByKey]])*OutputTable[RecordedValue]))</f>
        <v>0.26396692047107301</v>
      </c>
    </row>
    <row r="4" spans="1:16" x14ac:dyDescent="0.3">
      <c r="A4" t="s">
        <v>66</v>
      </c>
      <c r="B4" t="s">
        <v>69</v>
      </c>
      <c r="C4">
        <v>1</v>
      </c>
      <c r="D4" t="s">
        <v>97</v>
      </c>
      <c r="E4" t="s">
        <v>98</v>
      </c>
      <c r="F4" t="s">
        <v>76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ProjectClientEntity 1.NumberInNumber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A5" t="s">
        <v>66</v>
      </c>
      <c r="B5" t="s">
        <v>69</v>
      </c>
      <c r="C5">
        <v>1</v>
      </c>
      <c r="D5" t="s">
        <v>99</v>
      </c>
      <c r="E5" t="s">
        <v>100</v>
      </c>
      <c r="F5" t="s">
        <v>76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ProjectClientEntity 1.NumberOutNumber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A6" t="s">
        <v>66</v>
      </c>
      <c r="B6" t="s">
        <v>69</v>
      </c>
      <c r="C6">
        <v>1</v>
      </c>
      <c r="D6" t="s">
        <v>101</v>
      </c>
      <c r="E6" t="s">
        <v>94</v>
      </c>
      <c r="F6" t="s">
        <v>85</v>
      </c>
      <c r="G6">
        <v>349</v>
      </c>
      <c r="H6">
        <v>0</v>
      </c>
      <c r="I6" t="str">
        <f>OutputTable[[#This Row],[ProjectName]]&amp;OutputTable[[#This Row],[Name]]&amp;OutputTable[[#This Row],[Type]]&amp;OutputTable[[#This Row],[Source]]</f>
        <v>Unnamed ProjectEmployees clothes.NumberSeizedTotal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349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349</v>
      </c>
      <c r="P6" cm="1">
        <f t="array" ref="P6">MAX(IF((OutputTable[GroupByKey]=OutputTable[[#This Row],[GroupByKey]]),(OutputTable[GroupByKey]=OutputTable[[#This Row],[GroupByKey]])*OutputTable[RecordedValue]))</f>
        <v>349</v>
      </c>
    </row>
    <row r="7" spans="1:16" x14ac:dyDescent="0.3">
      <c r="A7" t="s">
        <v>66</v>
      </c>
      <c r="B7" t="s">
        <v>69</v>
      </c>
      <c r="C7">
        <v>1</v>
      </c>
      <c r="D7" t="s">
        <v>102</v>
      </c>
      <c r="E7" t="s">
        <v>96</v>
      </c>
      <c r="F7" t="s">
        <v>85</v>
      </c>
      <c r="G7">
        <v>0.42227001748735599</v>
      </c>
      <c r="H7">
        <v>0</v>
      </c>
      <c r="I7" t="str">
        <f>OutputTable[[#This Row],[ProjectName]]&amp;OutputTable[[#This Row],[Name]]&amp;OutputTable[[#This Row],[Type]]&amp;OutputTable[[#This Row],[Source]]</f>
        <v>Unnamed ProjectEmployees clothes.ScheduledUtilizationScheduled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0.42227001748735599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0.42227001748735599</v>
      </c>
      <c r="P7" cm="1">
        <f t="array" ref="P7">MAX(IF((OutputTable[GroupByKey]=OutputTable[[#This Row],[GroupByKey]]),(OutputTable[GroupByKey]=OutputTable[[#This Row],[GroupByKey]])*OutputTable[RecordedValue]))</f>
        <v>0.42227001748735599</v>
      </c>
    </row>
    <row r="8" spans="1:16" x14ac:dyDescent="0.3">
      <c r="A8" t="s">
        <v>66</v>
      </c>
      <c r="B8" t="s">
        <v>69</v>
      </c>
      <c r="C8">
        <v>1</v>
      </c>
      <c r="D8" t="s">
        <v>103</v>
      </c>
      <c r="E8" t="s">
        <v>94</v>
      </c>
      <c r="F8" t="s">
        <v>85</v>
      </c>
      <c r="G8">
        <v>299</v>
      </c>
      <c r="H8">
        <v>0</v>
      </c>
      <c r="I8" t="str">
        <f>OutputTable[[#This Row],[ProjectName]]&amp;OutputTable[[#This Row],[Name]]&amp;OutputTable[[#This Row],[Type]]&amp;OutputTable[[#This Row],[Source]]</f>
        <v>Unnamed ProjectEmployees shoe.NumberSeizedTotal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299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299</v>
      </c>
      <c r="P8" cm="1">
        <f t="array" ref="P8">MAX(IF((OutputTable[GroupByKey]=OutputTable[[#This Row],[GroupByKey]]),(OutputTable[GroupByKey]=OutputTable[[#This Row],[GroupByKey]])*OutputTable[RecordedValue]))</f>
        <v>299</v>
      </c>
    </row>
    <row r="9" spans="1:16" x14ac:dyDescent="0.3">
      <c r="A9" t="s">
        <v>66</v>
      </c>
      <c r="B9" t="s">
        <v>69</v>
      </c>
      <c r="C9">
        <v>1</v>
      </c>
      <c r="D9" t="s">
        <v>104</v>
      </c>
      <c r="E9" t="s">
        <v>96</v>
      </c>
      <c r="F9" t="s">
        <v>85</v>
      </c>
      <c r="G9">
        <v>0.56682214763302197</v>
      </c>
      <c r="H9">
        <v>0</v>
      </c>
      <c r="I9" t="str">
        <f>OutputTable[[#This Row],[ProjectName]]&amp;OutputTable[[#This Row],[Name]]&amp;OutputTable[[#This Row],[Type]]&amp;OutputTable[[#This Row],[Source]]</f>
        <v>Unnamed ProjectEmployees shoe.ScheduledUtilizationScheduled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0.56682214763302197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0.56682214763302197</v>
      </c>
      <c r="P9" cm="1">
        <f t="array" ref="P9">MAX(IF((OutputTable[GroupByKey]=OutputTable[[#This Row],[GroupByKey]]),(OutputTable[GroupByKey]=OutputTable[[#This Row],[GroupByKey]])*OutputTable[RecordedValue]))</f>
        <v>0.56682214763302197</v>
      </c>
    </row>
    <row r="10" spans="1:16" x14ac:dyDescent="0.3">
      <c r="A10" t="s">
        <v>66</v>
      </c>
      <c r="B10" t="s">
        <v>69</v>
      </c>
      <c r="C10">
        <v>1</v>
      </c>
      <c r="D10" t="s">
        <v>105</v>
      </c>
      <c r="E10" t="s">
        <v>98</v>
      </c>
      <c r="F10" t="s">
        <v>76</v>
      </c>
      <c r="G10">
        <v>513</v>
      </c>
      <c r="H10">
        <v>0</v>
      </c>
      <c r="I10" t="str">
        <f>OutputTable[[#This Row],[ProjectName]]&amp;OutputTable[[#This Row],[Name]]&amp;OutputTable[[#This Row],[Type]]&amp;OutputTable[[#This Row],[Source]]</f>
        <v>Unnamed ProjectEntity 1.NumberInNumber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513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513</v>
      </c>
      <c r="P10" cm="1">
        <f t="array" ref="P10">MAX(IF((OutputTable[GroupByKey]=OutputTable[[#This Row],[GroupByKey]]),(OutputTable[GroupByKey]=OutputTable[[#This Row],[GroupByKey]])*OutputTable[RecordedValue]))</f>
        <v>513</v>
      </c>
    </row>
    <row r="11" spans="1:16" x14ac:dyDescent="0.3">
      <c r="A11" t="s">
        <v>66</v>
      </c>
      <c r="B11" t="s">
        <v>69</v>
      </c>
      <c r="C11">
        <v>1</v>
      </c>
      <c r="D11" t="s">
        <v>106</v>
      </c>
      <c r="E11" t="s">
        <v>100</v>
      </c>
      <c r="F11" t="s">
        <v>76</v>
      </c>
      <c r="G11">
        <v>513</v>
      </c>
      <c r="H11">
        <v>0</v>
      </c>
      <c r="I11" t="str">
        <f>OutputTable[[#This Row],[ProjectName]]&amp;OutputTable[[#This Row],[Name]]&amp;OutputTable[[#This Row],[Type]]&amp;OutputTable[[#This Row],[Source]]</f>
        <v>Unnamed ProjectEntity 1.NumberOutNumber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513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513</v>
      </c>
      <c r="P11" cm="1">
        <f t="array" ref="P11">MAX(IF((OutputTable[GroupByKey]=OutputTable[[#This Row],[GroupByKey]]),(OutputTable[GroupByKey]=OutputTable[[#This Row],[GroupByKey]])*OutputTable[RecordedValue]))</f>
        <v>513</v>
      </c>
    </row>
    <row r="12" spans="1:16" x14ac:dyDescent="0.3">
      <c r="A12" t="s">
        <v>66</v>
      </c>
      <c r="B12" t="s">
        <v>69</v>
      </c>
      <c r="C12">
        <v>1</v>
      </c>
      <c r="D12" t="s">
        <v>107</v>
      </c>
      <c r="E12" t="s">
        <v>100</v>
      </c>
      <c r="F12" t="s">
        <v>108</v>
      </c>
      <c r="G12">
        <v>513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513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513</v>
      </c>
      <c r="P12" cm="1">
        <f t="array" ref="P12">MAX(IF((OutputTable[GroupByKey]=OutputTable[[#This Row],[GroupByKey]]),(OutputTable[GroupByKey]=OutputTable[[#This Row],[GroupByKey]])*OutputTable[RecordedValue]))</f>
        <v>513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5.21875" bestFit="1" customWidth="1"/>
    <col min="12" max="12" width="13.6640625" bestFit="1" customWidth="1"/>
    <col min="13" max="13" width="28.77734375" bestFit="1" customWidth="1"/>
    <col min="14" max="14" width="29.44140625" bestFit="1" customWidth="1"/>
    <col min="15" max="15" width="16.109375" bestFit="1" customWidth="1"/>
    <col min="16" max="16" width="27.44140625" bestFit="1" customWidth="1"/>
    <col min="17" max="17" width="28.10937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Álvaro Rodríguez Mesa</cp:lastModifiedBy>
  <cp:lastPrinted>2022-03-22T10:33:10Z</cp:lastPrinted>
  <dcterms:created xsi:type="dcterms:W3CDTF">2020-06-29T21:30:31Z</dcterms:created>
  <dcterms:modified xsi:type="dcterms:W3CDTF">2025-12-04T18:42:12Z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